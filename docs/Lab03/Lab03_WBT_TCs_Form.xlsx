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filterPrivacy="1" defaultThemeVersion="124226"/>
  <xr:revisionPtr revIDLastSave="0" documentId="13_ncr:1_{9B1D1393-4886-2F4A-AD29-A908030CC1E7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4" l="1"/>
  <c r="B18" i="4"/>
</calcChain>
</file>

<file path=xl/sharedStrings.xml><?xml version="1.0" encoding="utf-8"?>
<sst xmlns="http://schemas.openxmlformats.org/spreadsheetml/2006/main" count="204" uniqueCount="128">
  <si>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</si>
  <si>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</si>
  <si>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</si>
  <si>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</si>
  <si>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</si>
  <si>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</si>
  <si>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</si>
  <si>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</si>
  <si>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</si>
  <si>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</si>
  <si>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</si>
  <si>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</si>
  <si>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</si>
  <si>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</si>
  <si>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</si>
  <si>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</si>
  <si>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</si>
  <si>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</si>
  <si>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</si>
  <si>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</si>
  <si>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</si>
  <si>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</si>
  <si>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</si>
  <si>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</si>
  <si>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</si>
  <si>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</si>
  <si>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</si>
  <si>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</si>
  <si>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</si>
  <si>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</si>
  <si>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</si>
  <si>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</si>
  <si>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</si>
  <si>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</si>
  <si>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</si>
  <si>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</si>
  <si>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</si>
  <si>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</si>
  <si>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</si>
  <si>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</si>
  <si>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</si>
  <si>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</si>
  <si>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</si>
  <si>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</si>
  <si>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F02_Pnn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</si>
  <si>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</si>
  <si>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</si>
  <si>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</si>
  <si>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</si>
  <si>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</si>
  <si>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</si>
  <si>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</si>
  <si>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</si>
  <si>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</si>
  <si>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</si>
  <si>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</si>
  <si>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</si>
  <si>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</si>
  <si>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</si>
  <si>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</si>
  <si>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</si>
  <si>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</si>
  <si>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</si>
  <si>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</si>
  <si>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</si>
  <si>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</si>
  <si>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</si>
  <si>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</si>
  <si>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</si>
  <si>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</si>
  <si>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</si>
  <si>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</si>
  <si>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</si>
  <si>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</si>
  <si>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</si>
  <si>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</si>
  <si>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1(T)-2</t>
  </si>
  <si>
    <t>1(F)-3(T)-4</t>
  </si>
  <si>
    <t>1(F)-3(F)-5(F)-8</t>
  </si>
  <si>
    <t>1(F)-3(F)-5(T)-6(F)-5(F)-8</t>
  </si>
  <si>
    <t>1(F)-3(F)-5(T)-6(T)-7-5(F)-8</t>
  </si>
  <si>
    <t>F02_P04</t>
  </si>
  <si>
    <t>F02_P05</t>
  </si>
  <si>
    <t>1. Evidenţa ingredientelor in stoc</t>
  </si>
  <si>
    <t>Un manager isi doreste o aplicatie pentru managementul unui magazin de bauturi. Programul permite urmatoarele operatii: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</si>
  <si>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Actualizarea stocului de ingrediente dupa cumpararea unei bauturi</t>
    </r>
  </si>
  <si>
    <t>Staiculescu Mihai Robert</t>
  </si>
  <si>
    <t>Broatec Razvan Iustin</t>
  </si>
  <si>
    <t>Balta Alexandru</t>
  </si>
  <si>
    <t>F02. actualizarea stocului dupa achizitia unei bauturi</t>
  </si>
  <si>
    <t>are suficient</t>
  </si>
  <si>
    <t>getIngrediente=null</t>
  </si>
  <si>
    <t>iterator!=end</t>
  </si>
  <si>
    <t>e.getCantitate&gt;0</t>
  </si>
  <si>
    <t>Stoc</t>
  </si>
  <si>
    <t>Stoc=[(1,"Zahar",5),(2,"Lapte",10)]; Reteta(id=101, ingr=[("Zahar",6)])</t>
  </si>
  <si>
    <t>InsufficientStockException</t>
  </si>
  <si>
    <t>1,2</t>
  </si>
  <si>
    <t>X</t>
  </si>
  <si>
    <t>Stoc=orice; Reteta(id=102, ingr=null)</t>
  </si>
  <si>
    <t>Normal return (fara consum)</t>
  </si>
  <si>
    <t>1,3,4</t>
  </si>
  <si>
    <t>F02_TC03</t>
  </si>
  <si>
    <t>Stoc=[]; Reteta(id=103, ingr=[])</t>
  </si>
  <si>
    <t>Normal return; stoc neschimbat</t>
  </si>
  <si>
    <t>1,3,5,8</t>
  </si>
  <si>
    <t>F02_TC04</t>
  </si>
  <si>
    <t>Stoc=[]; Reteta(id=104, ingr=[("Orice",0)])</t>
  </si>
  <si>
    <t>1,3,5,6,8</t>
  </si>
  <si>
    <t>F02_TC05</t>
  </si>
  <si>
    <t>Stoc=[(1,"Lapte",5)]; Reteta(id=105, ingr=[("Lapte",3)])</t>
  </si>
  <si>
    <t>Normal; update: Lapte 5-&gt;2</t>
  </si>
  <si>
    <t>1,3,5,6,7,8</t>
  </si>
  <si>
    <t>F02_TC06</t>
  </si>
  <si>
    <t>Stoc=[(1,"Lapte",5)]; Reteta(id=106, ingr=[("Lapte",2),("Lapte",0)])</t>
  </si>
  <si>
    <t>Normal; update: Lapte 5-&gt;3</t>
  </si>
  <si>
    <t>Reteta</t>
  </si>
  <si>
    <t>[(1,"Zahar",5),(2,"Lapte",10)]</t>
  </si>
  <si>
    <t>(id=101, ingr=[("Zahar",6)])</t>
  </si>
  <si>
    <t>orice</t>
  </si>
  <si>
    <t>(id=102, ingr=null)</t>
  </si>
  <si>
    <t>[]</t>
  </si>
  <si>
    <t>(id=103, ingr=[])</t>
  </si>
  <si>
    <t>(id=104, ingr=[("Orice",0)])</t>
  </si>
  <si>
    <t>[(1,"Lapte",5)]</t>
  </si>
  <si>
    <t>(id=105, ingr=[("Lapte",3)])</t>
  </si>
  <si>
    <t>(id=106, ingr=[("Lapte",2),("Lapte",0)])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</si>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</sst>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2" borderId="4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0" fillId="0" borderId="0" xfId="0" applyFont="1"/>
    <xf numFmtId="0" fontId="12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0" fillId="2" borderId="6" xfId="0" applyFill="1" applyBorder="1"/>
    <xf numFmtId="0" fontId="0" fillId="7" borderId="6" xfId="0" applyFill="1" applyBorder="1"/>
    <xf numFmtId="0" fontId="0" fillId="2" borderId="8" xfId="0" applyFill="1" applyBorder="1"/>
    <xf numFmtId="0" fontId="0" fillId="0" borderId="6" xfId="0" applyBorder="1"/>
    <xf numFmtId="0" fontId="0" fillId="2" borderId="9" xfId="0" applyFill="1" applyBorder="1"/>
    <xf numFmtId="0" fontId="0" fillId="7" borderId="8" xfId="0" applyFill="1" applyBorder="1"/>
    <xf numFmtId="0" fontId="0" fillId="2" borderId="10" xfId="0" applyFill="1" applyBorder="1"/>
    <xf numFmtId="0" fontId="6" fillId="8" borderId="0" xfId="0" applyFont="1" applyFill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6" fillId="0" borderId="0" xfId="0" applyFont="1"/>
    <xf numFmtId="0" fontId="6" fillId="8" borderId="2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6" xfId="0" applyFont="1" applyBorder="1" applyAlignment="1">
      <alignment horizontal="left" vertical="center"/>
    </xf>
    <xf numFmtId="0" fontId="12" fillId="4" borderId="6" xfId="0" applyFont="1" applyFill="1" applyBorder="1" applyAlignment="1">
      <alignment vertical="center"/>
    </xf>
    <xf numFmtId="0" fontId="12" fillId="3" borderId="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8" borderId="9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1" fillId="8" borderId="9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9" borderId="6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0" fillId="0" borderId="35" xfId="0" applyBorder="1"/>
    <xf numFmtId="0" fontId="0" fillId="0" borderId="7" xfId="0" applyBorder="1"/>
    <xf numFmtId="0" fontId="0" fillId="0" borderId="11" xfId="0" applyBorder="1"/>
    <xf numFmtId="0" fontId="0" fillId="0" borderId="5" xfId="0" applyBorder="1"/>
    <xf numFmtId="0" fontId="11" fillId="6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3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12" borderId="32" xfId="0" applyFont="1" applyFill="1" applyBorder="1" applyAlignment="1">
      <alignment horizontal="center" vertical="center"/>
    </xf>
    <xf numFmtId="0" fontId="6" fillId="12" borderId="33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11" borderId="27" xfId="0" applyFont="1" applyFill="1" applyBorder="1" applyAlignment="1">
      <alignment horizontal="center" vertical="center"/>
    </xf>
    <xf numFmtId="0" fontId="6" fillId="11" borderId="28" xfId="0" applyFont="1" applyFill="1" applyBorder="1" applyAlignment="1">
      <alignment horizontal="center" vertical="center"/>
    </xf>
    <xf numFmtId="0" fontId="6" fillId="11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621030</xdr:colOff>
      <xdr:row>8</xdr:row>
      <xdr:rowOff>125730</xdr:rowOff>
    </xdr:from>
    <xdr:to>
      <xdr:col>15</xdr:col>
      <xdr:colOff>194310</xdr:colOff>
      <xdr:row>31</xdr:row>
      <xdr:rowOff>87630</xdr:rowOff>
    </xdr:to>
    <xdr:pic>
      <xdr:nvPicPr>
        <xdr:cNvPr id="6188" name="Picture 4">
          <a:extLst>
            <a:ext uri="{FF2B5EF4-FFF2-40B4-BE49-F238E27FC236}">
              <a16:creationId xmlns:a16="http://schemas.microsoft.com/office/drawing/2014/main" id="{00000000-0008-0000-01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8270" y="1588770"/>
          <a:ext cx="4724400" cy="416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618066</xdr:colOff>
      <xdr:row>8</xdr:row>
      <xdr:rowOff>135466</xdr:rowOff>
    </xdr:from>
    <xdr:to>
      <xdr:col>15</xdr:col>
      <xdr:colOff>186266</xdr:colOff>
      <xdr:row>31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1A5403-B958-1C9E-56CD-FD78594AA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4066" y="1693333"/>
          <a:ext cx="4986867" cy="4445000"/>
        </a:xfrm>
        <a:prstGeom prst="rect">
          <a:avLst/>
        </a:prstGeom>
      </xdr:spPr>
    </xdr:pic>
    <xdr:clientData/>
  </xdr:twoCellAnchor>
  <xdr:twoCellAnchor>
    <xdr:from>
      <xdr:col>0</xdr:col>
      <xdr:colOff>668866</xdr:colOff>
      <xdr:row>7</xdr:row>
      <xdr:rowOff>2</xdr:rowOff>
    </xdr:from>
    <xdr:to>
      <xdr:col>7</xdr:col>
      <xdr:colOff>321734</xdr:colOff>
      <xdr:row>30</xdr:row>
      <xdr:rowOff>8467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B94557-0C9D-32ED-3DFB-257C0AB516C8}"/>
            </a:ext>
          </a:extLst>
        </xdr:cNvPr>
        <xdr:cNvSpPr txBox="1"/>
      </xdr:nvSpPr>
      <xdr:spPr>
        <a:xfrm>
          <a:off x="668866" y="1363135"/>
          <a:ext cx="4478868" cy="44873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public void consuma(Reteta reteta) {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// P1: Verificare stoc global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(!areSuficient(reteta)) {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throw new InsufficientStockException(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"Stoc insuficient pentru reteta produsului cu id=" + reteta.getId());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}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// P2: Verificare existență listă ingrediente (pentru a crește CC)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(reteta.getIngrediente() == null) {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}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// P3: Structură repetitivă (Loop)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for (IngredientReteta e : reteta.getIngrediente()) {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// P4: Verificare validitate ingredient (pentru a crește CC)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if (e.getCantitate() &gt; 0) {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String ingredient = e.getDenumire();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double necesar = e.getCantitate();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// Apel către metoda extrasă (fără imbricare)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proceseazaScadereStoc(ingredient, necesar);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}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}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tabSelected="1" topLeftCell="B2" zoomScale="125" workbookViewId="0">
      <selection activeCell="E13" sqref="E13"/>
    </sheetView>
  </sheetViews>
  <sheetFormatPr baseColWidth="10" defaultColWidth="8.83203125" defaultRowHeight="15" x14ac:dyDescent="0.2"/>
  <cols>
    <col min="15" max="15" width="19.5" customWidth="1"/>
  </cols>
  <sheetData>
    <row r="1" spans="2:16" x14ac:dyDescent="0.2">
      <c r="B1" s="8"/>
      <c r="D1" s="43" t="s">
        <v>0</v>
      </c>
      <c r="E1" s="44"/>
      <c r="F1" s="44"/>
      <c r="G1" s="45"/>
    </row>
    <row r="2" spans="2:16" x14ac:dyDescent="0.2">
      <c r="B2" s="28" t="s">
        <v>1</v>
      </c>
    </row>
    <row r="4" spans="2:16" x14ac:dyDescent="0.2">
      <c r="B4" s="1" t="s">
        <v>2</v>
      </c>
      <c r="N4" s="5" t="s">
        <v>3</v>
      </c>
      <c r="O4" s="5"/>
      <c r="P4" s="5"/>
    </row>
    <row r="5" spans="2:16" x14ac:dyDescent="0.2">
      <c r="B5" s="1" t="s">
        <v>4</v>
      </c>
      <c r="N5" s="24" t="s">
        <v>5</v>
      </c>
      <c r="O5" s="24"/>
      <c r="P5" s="24"/>
    </row>
    <row r="6" spans="2:16" x14ac:dyDescent="0.2">
      <c r="B6" s="1" t="s">
        <v>6</v>
      </c>
      <c r="N6" s="16"/>
      <c r="O6" s="16" t="s">
        <v>7</v>
      </c>
      <c r="P6" s="16" t="s">
        <v>8</v>
      </c>
    </row>
    <row r="7" spans="2:16" x14ac:dyDescent="0.2">
      <c r="B7" s="1"/>
      <c r="C7" s="1"/>
      <c r="D7" s="1"/>
      <c r="E7" s="1"/>
      <c r="N7" s="16" t="s">
        <v>9</v>
      </c>
      <c r="O7" s="16" t="s">
        <v>86</v>
      </c>
      <c r="P7" s="16">
        <v>236</v>
      </c>
    </row>
    <row r="8" spans="2:16" x14ac:dyDescent="0.2">
      <c r="B8" s="1"/>
      <c r="C8" s="1"/>
      <c r="D8" s="1"/>
      <c r="E8" s="1"/>
      <c r="N8" s="16" t="s">
        <v>10</v>
      </c>
      <c r="O8" s="16" t="s">
        <v>88</v>
      </c>
      <c r="P8" s="16">
        <v>231</v>
      </c>
    </row>
    <row r="9" spans="2:16" x14ac:dyDescent="0.2">
      <c r="B9" t="s">
        <v>83</v>
      </c>
      <c r="C9" s="1"/>
      <c r="D9" s="1"/>
      <c r="E9" s="1"/>
      <c r="N9" s="16" t="s">
        <v>11</v>
      </c>
      <c r="O9" s="16" t="s">
        <v>87</v>
      </c>
      <c r="P9" s="16">
        <v>231</v>
      </c>
    </row>
    <row r="10" spans="2:16" x14ac:dyDescent="0.2">
      <c r="B10" t="s">
        <v>84</v>
      </c>
      <c r="C10" s="1"/>
      <c r="D10" s="1"/>
      <c r="E10" s="1"/>
    </row>
    <row r="11" spans="2:16" x14ac:dyDescent="0.2">
      <c r="B11" s="26" t="s">
        <v>85</v>
      </c>
      <c r="C11" s="1"/>
      <c r="D11" s="1"/>
      <c r="E11" s="1"/>
    </row>
    <row r="12" spans="2:16" x14ac:dyDescent="0.2">
      <c r="C12" s="1"/>
      <c r="D12" s="1"/>
      <c r="E12" s="1"/>
    </row>
    <row r="19" spans="2:2" x14ac:dyDescent="0.2">
      <c r="B19" s="1"/>
    </row>
    <row r="20" spans="2:2" x14ac:dyDescent="0.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7"/>
  <sheetViews>
    <sheetView zoomScale="86" zoomScaleNormal="90" workbookViewId="0">
      <selection activeCell="B22" sqref="B22"/>
    </sheetView>
  </sheetViews>
  <sheetFormatPr baseColWidth="10" defaultColWidth="8.83203125" defaultRowHeight="15" x14ac:dyDescent="0.2"/>
  <cols>
    <col min="2" max="2" width="10" customWidth="1"/>
    <col min="17" max="17" width="10.5" customWidth="1"/>
    <col min="20" max="20" width="26" customWidth="1"/>
  </cols>
  <sheetData>
    <row r="1" spans="2:20" x14ac:dyDescent="0.2">
      <c r="B1" s="8"/>
      <c r="D1" s="43" t="s">
        <v>0</v>
      </c>
      <c r="E1" s="44"/>
      <c r="F1" s="44"/>
      <c r="G1" s="44"/>
      <c r="H1" s="44"/>
      <c r="I1" s="45"/>
    </row>
    <row r="3" spans="2:20" x14ac:dyDescent="0.2">
      <c r="B3" s="47" t="s">
        <v>12</v>
      </c>
      <c r="C3" s="48"/>
      <c r="D3" s="48"/>
      <c r="E3" s="48"/>
      <c r="F3" s="48"/>
      <c r="G3" s="48"/>
      <c r="H3" s="48"/>
      <c r="I3" s="48"/>
      <c r="J3" s="48"/>
      <c r="K3" s="49"/>
    </row>
    <row r="6" spans="2:20" x14ac:dyDescent="0.2">
      <c r="B6" s="43" t="s">
        <v>13</v>
      </c>
      <c r="C6" s="44"/>
      <c r="D6" s="44"/>
      <c r="E6" s="45"/>
      <c r="F6" s="20"/>
      <c r="G6" s="20"/>
      <c r="I6" s="43" t="s">
        <v>14</v>
      </c>
      <c r="J6" s="44"/>
      <c r="K6" s="44"/>
      <c r="L6" s="44"/>
      <c r="M6" s="44"/>
      <c r="N6" s="44"/>
      <c r="O6" s="44"/>
      <c r="Q6" s="43" t="s">
        <v>15</v>
      </c>
      <c r="R6" s="44"/>
      <c r="S6" s="44"/>
      <c r="T6" s="44"/>
    </row>
    <row r="8" spans="2:20" x14ac:dyDescent="0.2">
      <c r="B8" s="21" t="s">
        <v>16</v>
      </c>
      <c r="C8" s="61" t="s">
        <v>17</v>
      </c>
      <c r="D8" s="61"/>
      <c r="E8" s="61"/>
      <c r="F8" s="22"/>
      <c r="G8" s="22"/>
      <c r="I8" s="8" t="s">
        <v>18</v>
      </c>
      <c r="Q8" s="60" t="s">
        <v>19</v>
      </c>
      <c r="R8" s="60"/>
      <c r="S8" s="60"/>
      <c r="T8" s="23">
        <v>5</v>
      </c>
    </row>
    <row r="9" spans="2:20" x14ac:dyDescent="0.2">
      <c r="B9" s="24" t="s">
        <v>21</v>
      </c>
      <c r="C9" s="50" t="s">
        <v>20</v>
      </c>
      <c r="D9" s="50"/>
      <c r="E9" s="50"/>
      <c r="F9" s="25"/>
      <c r="G9" s="25"/>
      <c r="I9" s="27"/>
      <c r="Q9" s="60" t="s">
        <v>22</v>
      </c>
      <c r="R9" s="60"/>
      <c r="S9" s="60"/>
      <c r="T9" s="23">
        <v>5</v>
      </c>
    </row>
    <row r="10" spans="2:20" x14ac:dyDescent="0.2">
      <c r="B10" s="24" t="s">
        <v>23</v>
      </c>
      <c r="C10" s="50" t="s">
        <v>20</v>
      </c>
      <c r="D10" s="50"/>
      <c r="E10" s="50"/>
      <c r="F10" s="25"/>
      <c r="G10" s="25"/>
      <c r="I10" s="51" t="s">
        <v>24</v>
      </c>
      <c r="J10" s="52"/>
      <c r="K10" s="52"/>
      <c r="L10" s="52"/>
      <c r="M10" s="52"/>
      <c r="N10" s="52"/>
      <c r="O10" s="53"/>
      <c r="Q10" s="60" t="s">
        <v>25</v>
      </c>
      <c r="R10" s="60" t="s">
        <v>26</v>
      </c>
      <c r="S10" s="60"/>
      <c r="T10" s="23">
        <v>5</v>
      </c>
    </row>
    <row r="11" spans="2:20" x14ac:dyDescent="0.2">
      <c r="B11" s="24" t="s">
        <v>27</v>
      </c>
      <c r="C11" s="50" t="s">
        <v>20</v>
      </c>
      <c r="D11" s="50"/>
      <c r="E11" s="50"/>
      <c r="F11" s="25"/>
      <c r="G11" s="25"/>
      <c r="I11" s="54"/>
      <c r="J11" s="55"/>
      <c r="K11" s="55"/>
      <c r="L11" s="55"/>
      <c r="M11" s="55"/>
      <c r="N11" s="55"/>
      <c r="O11" s="56"/>
    </row>
    <row r="12" spans="2:20" x14ac:dyDescent="0.2">
      <c r="B12" s="24" t="s">
        <v>28</v>
      </c>
      <c r="C12" s="50" t="s">
        <v>20</v>
      </c>
      <c r="D12" s="50"/>
      <c r="E12" s="50"/>
      <c r="F12" s="25"/>
      <c r="G12" s="25"/>
      <c r="I12" s="54"/>
      <c r="J12" s="55"/>
      <c r="K12" s="55"/>
      <c r="L12" s="55"/>
      <c r="M12" s="55"/>
      <c r="N12" s="55"/>
      <c r="O12" s="56"/>
    </row>
    <row r="13" spans="2:20" x14ac:dyDescent="0.2">
      <c r="B13" s="24" t="s">
        <v>29</v>
      </c>
      <c r="C13" s="50" t="s">
        <v>20</v>
      </c>
      <c r="D13" s="50"/>
      <c r="E13" s="50"/>
      <c r="F13" s="25"/>
      <c r="G13" s="25"/>
      <c r="I13" s="54"/>
      <c r="J13" s="55"/>
      <c r="K13" s="55"/>
      <c r="L13" s="55"/>
      <c r="M13" s="55"/>
      <c r="N13" s="55"/>
      <c r="O13" s="56"/>
      <c r="Q13" s="43" t="s">
        <v>30</v>
      </c>
      <c r="R13" s="44"/>
      <c r="S13" s="44"/>
      <c r="T13" s="44"/>
    </row>
    <row r="14" spans="2:20" x14ac:dyDescent="0.2">
      <c r="B14" s="24" t="s">
        <v>28</v>
      </c>
      <c r="C14" s="50" t="s">
        <v>20</v>
      </c>
      <c r="D14" s="50"/>
      <c r="E14" s="50"/>
      <c r="F14" s="25"/>
      <c r="G14" s="25"/>
      <c r="I14" s="54"/>
      <c r="J14" s="55"/>
      <c r="K14" s="55"/>
      <c r="L14" s="55"/>
      <c r="M14" s="55"/>
      <c r="N14" s="55"/>
      <c r="O14" s="56"/>
    </row>
    <row r="15" spans="2:20" x14ac:dyDescent="0.2">
      <c r="I15" s="54"/>
      <c r="J15" s="55"/>
      <c r="K15" s="55"/>
      <c r="L15" s="55"/>
      <c r="M15" s="55"/>
      <c r="N15" s="55"/>
      <c r="O15" s="56"/>
      <c r="Q15" s="21" t="s">
        <v>31</v>
      </c>
      <c r="R15" s="61" t="s">
        <v>32</v>
      </c>
      <c r="S15" s="61"/>
      <c r="T15" s="61"/>
    </row>
    <row r="16" spans="2:20" x14ac:dyDescent="0.2">
      <c r="I16" s="54"/>
      <c r="J16" s="55"/>
      <c r="K16" s="55"/>
      <c r="L16" s="55"/>
      <c r="M16" s="55"/>
      <c r="N16" s="55"/>
      <c r="O16" s="56"/>
      <c r="Q16" s="24" t="s">
        <v>33</v>
      </c>
      <c r="R16" s="30" t="s">
        <v>76</v>
      </c>
      <c r="S16" s="30"/>
      <c r="T16" s="30"/>
    </row>
    <row r="17" spans="9:20" x14ac:dyDescent="0.2">
      <c r="I17" s="54"/>
      <c r="J17" s="55"/>
      <c r="K17" s="55"/>
      <c r="L17" s="55"/>
      <c r="M17" s="55"/>
      <c r="N17" s="55"/>
      <c r="O17" s="56"/>
      <c r="Q17" s="24" t="s">
        <v>34</v>
      </c>
      <c r="R17" s="30" t="s">
        <v>77</v>
      </c>
      <c r="S17" s="30"/>
      <c r="T17" s="30"/>
    </row>
    <row r="18" spans="9:20" x14ac:dyDescent="0.2">
      <c r="I18" s="54"/>
      <c r="J18" s="55"/>
      <c r="K18" s="55"/>
      <c r="L18" s="55"/>
      <c r="M18" s="55"/>
      <c r="N18" s="55"/>
      <c r="O18" s="56"/>
      <c r="Q18" s="24" t="s">
        <v>35</v>
      </c>
      <c r="R18" s="30" t="s">
        <v>78</v>
      </c>
      <c r="S18" s="30"/>
      <c r="T18" s="30"/>
    </row>
    <row r="19" spans="9:20" x14ac:dyDescent="0.2">
      <c r="I19" s="54"/>
      <c r="J19" s="55"/>
      <c r="K19" s="55"/>
      <c r="L19" s="55"/>
      <c r="M19" s="55"/>
      <c r="N19" s="55"/>
      <c r="O19" s="56"/>
      <c r="Q19" s="24" t="s">
        <v>81</v>
      </c>
      <c r="R19" s="30" t="s">
        <v>79</v>
      </c>
      <c r="S19" s="30"/>
      <c r="T19" s="30"/>
    </row>
    <row r="20" spans="9:20" x14ac:dyDescent="0.2">
      <c r="I20" s="54"/>
      <c r="J20" s="55"/>
      <c r="K20" s="55"/>
      <c r="L20" s="55"/>
      <c r="M20" s="55"/>
      <c r="N20" s="55"/>
      <c r="O20" s="56"/>
      <c r="Q20" s="24" t="s">
        <v>82</v>
      </c>
      <c r="R20" s="30" t="s">
        <v>80</v>
      </c>
      <c r="S20" s="30"/>
      <c r="T20" s="30"/>
    </row>
    <row r="21" spans="9:20" x14ac:dyDescent="0.2">
      <c r="I21" s="54"/>
      <c r="J21" s="55"/>
      <c r="K21" s="55"/>
      <c r="L21" s="55"/>
      <c r="M21" s="55"/>
      <c r="N21" s="55"/>
      <c r="O21" s="56"/>
      <c r="Q21" s="24"/>
      <c r="R21" s="46" t="s">
        <v>20</v>
      </c>
      <c r="S21" s="46"/>
      <c r="T21" s="46"/>
    </row>
    <row r="22" spans="9:20" x14ac:dyDescent="0.2">
      <c r="I22" s="54"/>
      <c r="J22" s="55"/>
      <c r="K22" s="55"/>
      <c r="L22" s="55"/>
      <c r="M22" s="55"/>
      <c r="N22" s="55"/>
      <c r="O22" s="56"/>
      <c r="Q22" s="29"/>
      <c r="R22" s="29"/>
    </row>
    <row r="23" spans="9:20" x14ac:dyDescent="0.2">
      <c r="I23" s="54"/>
      <c r="J23" s="55"/>
      <c r="K23" s="55"/>
      <c r="L23" s="55"/>
      <c r="M23" s="55"/>
      <c r="N23" s="55"/>
      <c r="O23" s="56"/>
      <c r="Q23" s="29"/>
      <c r="R23" s="30"/>
    </row>
    <row r="24" spans="9:20" x14ac:dyDescent="0.2">
      <c r="I24" s="57"/>
      <c r="J24" s="58"/>
      <c r="K24" s="58"/>
      <c r="L24" s="58"/>
      <c r="M24" s="58"/>
      <c r="N24" s="58"/>
      <c r="O24" s="59"/>
      <c r="Q24" s="29"/>
      <c r="R24" s="30"/>
    </row>
    <row r="25" spans="9:20" x14ac:dyDescent="0.2">
      <c r="Q25" s="29"/>
      <c r="R25" s="30"/>
    </row>
    <row r="26" spans="9:20" x14ac:dyDescent="0.2">
      <c r="Q26" s="29"/>
      <c r="R26" s="30"/>
    </row>
    <row r="27" spans="9:20" x14ac:dyDescent="0.2">
      <c r="Q27" s="29"/>
      <c r="R27" s="30"/>
    </row>
  </sheetData>
  <mergeCells count="19">
    <mergeCell ref="Q13:T13"/>
    <mergeCell ref="C14:E14"/>
    <mergeCell ref="D1:I1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C9:E9"/>
    <mergeCell ref="Q9:S9"/>
    <mergeCell ref="C12:E12"/>
    <mergeCell ref="C13:E13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Z16"/>
  <sheetViews>
    <sheetView zoomScale="75" workbookViewId="0">
      <selection activeCell="D15" sqref="D15"/>
    </sheetView>
  </sheetViews>
  <sheetFormatPr baseColWidth="10" defaultColWidth="8.83203125" defaultRowHeight="15" x14ac:dyDescent="0.2"/>
  <cols>
    <col min="2" max="2" width="12.33203125" customWidth="1"/>
    <col min="3" max="3" width="62.1640625" customWidth="1"/>
    <col min="4" max="4" width="30.83203125" customWidth="1"/>
    <col min="5" max="5" width="19.83203125" bestFit="1" customWidth="1"/>
    <col min="6" max="6" width="8.1640625" customWidth="1"/>
    <col min="7" max="7" width="11.5" bestFit="1" customWidth="1"/>
    <col min="8" max="8" width="11.1640625" customWidth="1"/>
    <col min="9" max="9" width="9.33203125" customWidth="1"/>
    <col min="10" max="10" width="14.5" customWidth="1"/>
    <col min="11" max="11" width="6.1640625" customWidth="1"/>
    <col min="12" max="12" width="6.5" customWidth="1"/>
    <col min="13" max="13" width="12.83203125" customWidth="1"/>
    <col min="14" max="15" width="8.83203125" customWidth="1"/>
    <col min="19" max="19" width="9.1640625" customWidth="1"/>
    <col min="20" max="22" width="2.1640625" bestFit="1" customWidth="1"/>
    <col min="23" max="23" width="3.5" bestFit="1" customWidth="1"/>
    <col min="24" max="24" width="2.1640625" bestFit="1" customWidth="1"/>
    <col min="25" max="25" width="4.1640625" bestFit="1" customWidth="1"/>
    <col min="26" max="26" width="5.1640625" bestFit="1" customWidth="1"/>
  </cols>
  <sheetData>
    <row r="1" spans="2:26" x14ac:dyDescent="0.2">
      <c r="B1" s="8"/>
      <c r="D1" s="43" t="s">
        <v>0</v>
      </c>
      <c r="E1" s="44"/>
      <c r="F1" s="44"/>
      <c r="G1" s="45"/>
    </row>
    <row r="3" spans="2:26" x14ac:dyDescent="0.2">
      <c r="B3" s="62" t="s">
        <v>89</v>
      </c>
      <c r="C3" s="48"/>
      <c r="D3" s="48"/>
      <c r="E3" s="48"/>
      <c r="F3" s="49"/>
    </row>
    <row r="5" spans="2:26" x14ac:dyDescent="0.2">
      <c r="B5" s="7"/>
    </row>
    <row r="6" spans="2:26" ht="16" customHeight="1" x14ac:dyDescent="0.2">
      <c r="B6" s="63" t="s">
        <v>36</v>
      </c>
      <c r="C6" s="63" t="s">
        <v>37</v>
      </c>
      <c r="D6" s="63" t="s">
        <v>38</v>
      </c>
      <c r="E6" s="63" t="s">
        <v>39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7"/>
    </row>
    <row r="7" spans="2:26" ht="16" customHeight="1" x14ac:dyDescent="0.2">
      <c r="B7" s="64"/>
      <c r="C7" s="65"/>
      <c r="D7" s="65"/>
      <c r="E7" s="72" t="s">
        <v>40</v>
      </c>
      <c r="F7" s="71" t="s">
        <v>41</v>
      </c>
      <c r="G7" s="66"/>
      <c r="H7" s="66"/>
      <c r="I7" s="66"/>
      <c r="J7" s="66"/>
      <c r="K7" s="66"/>
      <c r="L7" s="66"/>
      <c r="M7" s="67"/>
      <c r="N7" s="69" t="s">
        <v>42</v>
      </c>
      <c r="O7" s="66"/>
      <c r="P7" s="66"/>
      <c r="Q7" s="66"/>
      <c r="R7" s="66"/>
      <c r="S7" s="67"/>
      <c r="T7" s="68" t="s">
        <v>43</v>
      </c>
      <c r="U7" s="66"/>
      <c r="V7" s="66"/>
      <c r="W7" s="66"/>
      <c r="X7" s="66"/>
      <c r="Y7" s="66"/>
      <c r="Z7" s="67"/>
    </row>
    <row r="8" spans="2:26" ht="15.5" customHeight="1" x14ac:dyDescent="0.2">
      <c r="B8" s="64"/>
      <c r="C8" s="70" t="s">
        <v>20</v>
      </c>
      <c r="D8" s="70" t="s">
        <v>20</v>
      </c>
      <c r="E8" s="64"/>
      <c r="F8" s="71" t="s">
        <v>90</v>
      </c>
      <c r="G8" s="67"/>
      <c r="H8" s="71" t="s">
        <v>91</v>
      </c>
      <c r="I8" s="67"/>
      <c r="J8" s="71" t="s">
        <v>92</v>
      </c>
      <c r="K8" s="67"/>
      <c r="L8" s="71" t="s">
        <v>93</v>
      </c>
      <c r="M8" s="67"/>
      <c r="N8" s="69" t="s">
        <v>33</v>
      </c>
      <c r="O8" s="69" t="s">
        <v>34</v>
      </c>
      <c r="P8" s="69" t="s">
        <v>20</v>
      </c>
      <c r="Q8" s="69" t="s">
        <v>20</v>
      </c>
      <c r="R8" s="69" t="s">
        <v>20</v>
      </c>
      <c r="S8" s="69" t="s">
        <v>44</v>
      </c>
      <c r="T8" s="68">
        <v>0</v>
      </c>
      <c r="U8" s="68">
        <v>1</v>
      </c>
      <c r="V8" s="68">
        <v>2</v>
      </c>
      <c r="W8" s="68" t="s">
        <v>45</v>
      </c>
      <c r="X8" s="68" t="s">
        <v>46</v>
      </c>
      <c r="Y8" s="68" t="s">
        <v>47</v>
      </c>
      <c r="Z8" s="68" t="s">
        <v>48</v>
      </c>
    </row>
    <row r="9" spans="2:26" ht="16" x14ac:dyDescent="0.2">
      <c r="B9" s="65"/>
      <c r="C9" s="65"/>
      <c r="D9" s="65"/>
      <c r="E9" s="65"/>
      <c r="F9" s="32" t="s">
        <v>49</v>
      </c>
      <c r="G9" s="32" t="s">
        <v>50</v>
      </c>
      <c r="H9" s="32" t="s">
        <v>49</v>
      </c>
      <c r="I9" s="32" t="s">
        <v>50</v>
      </c>
      <c r="J9" s="32" t="s">
        <v>49</v>
      </c>
      <c r="K9" s="32" t="s">
        <v>50</v>
      </c>
      <c r="L9" s="32" t="s">
        <v>49</v>
      </c>
      <c r="M9" s="32" t="s">
        <v>50</v>
      </c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2:26" ht="16" x14ac:dyDescent="0.2">
      <c r="B10" s="33" t="s">
        <v>51</v>
      </c>
      <c r="C10" s="33" t="s">
        <v>95</v>
      </c>
      <c r="D10" s="34" t="s">
        <v>96</v>
      </c>
      <c r="E10" s="35" t="s">
        <v>97</v>
      </c>
      <c r="F10" s="36"/>
      <c r="G10" s="36" t="s">
        <v>98</v>
      </c>
      <c r="H10" s="36"/>
      <c r="I10" s="36"/>
      <c r="J10" s="36"/>
      <c r="K10" s="36"/>
      <c r="L10" s="36"/>
      <c r="M10" s="36"/>
      <c r="N10" s="37" t="s">
        <v>98</v>
      </c>
      <c r="O10" s="37"/>
      <c r="P10" s="37"/>
      <c r="Q10" s="37"/>
      <c r="R10" s="37"/>
      <c r="S10" s="37"/>
      <c r="T10" s="38"/>
      <c r="U10" s="38"/>
      <c r="V10" s="38"/>
      <c r="W10" s="38"/>
      <c r="X10" s="38"/>
      <c r="Y10" s="38"/>
      <c r="Z10" s="38"/>
    </row>
    <row r="11" spans="2:26" ht="16" x14ac:dyDescent="0.2">
      <c r="B11" s="33" t="s">
        <v>61</v>
      </c>
      <c r="C11" s="33" t="s">
        <v>99</v>
      </c>
      <c r="D11" s="34" t="s">
        <v>100</v>
      </c>
      <c r="E11" s="35" t="s">
        <v>101</v>
      </c>
      <c r="F11" s="36" t="s">
        <v>98</v>
      </c>
      <c r="G11" s="36"/>
      <c r="H11" s="36" t="s">
        <v>98</v>
      </c>
      <c r="I11" s="36"/>
      <c r="J11" s="36"/>
      <c r="K11" s="36"/>
      <c r="L11" s="36"/>
      <c r="M11" s="36"/>
      <c r="N11" s="37"/>
      <c r="O11" s="37" t="s">
        <v>98</v>
      </c>
      <c r="P11" s="37"/>
      <c r="Q11" s="37"/>
      <c r="R11" s="37"/>
      <c r="S11" s="37"/>
      <c r="T11" s="38"/>
      <c r="U11" s="38"/>
      <c r="V11" s="38"/>
      <c r="W11" s="38"/>
      <c r="X11" s="38"/>
      <c r="Y11" s="38"/>
      <c r="Z11" s="38"/>
    </row>
    <row r="12" spans="2:26" ht="16" x14ac:dyDescent="0.2">
      <c r="B12" s="33" t="s">
        <v>102</v>
      </c>
      <c r="C12" s="39" t="s">
        <v>103</v>
      </c>
      <c r="D12" s="40" t="s">
        <v>104</v>
      </c>
      <c r="E12" s="35" t="s">
        <v>105</v>
      </c>
      <c r="F12" s="36" t="s">
        <v>98</v>
      </c>
      <c r="G12" s="36"/>
      <c r="H12" s="36"/>
      <c r="I12" s="36" t="s">
        <v>98</v>
      </c>
      <c r="J12" s="36"/>
      <c r="K12" s="36" t="s">
        <v>98</v>
      </c>
      <c r="L12" s="36"/>
      <c r="M12" s="36"/>
      <c r="N12" s="37"/>
      <c r="O12" s="37"/>
      <c r="P12" s="37" t="s">
        <v>98</v>
      </c>
      <c r="Q12" s="37"/>
      <c r="R12" s="37"/>
      <c r="S12" s="37"/>
      <c r="T12" s="38" t="s">
        <v>98</v>
      </c>
      <c r="U12" s="38"/>
      <c r="V12" s="38"/>
      <c r="W12" s="38"/>
      <c r="X12" s="38"/>
      <c r="Y12" s="38"/>
      <c r="Z12" s="38"/>
    </row>
    <row r="13" spans="2:26" ht="16" x14ac:dyDescent="0.2">
      <c r="B13" s="33" t="s">
        <v>106</v>
      </c>
      <c r="C13" s="33" t="s">
        <v>107</v>
      </c>
      <c r="D13" s="34" t="s">
        <v>104</v>
      </c>
      <c r="E13" s="35" t="s">
        <v>108</v>
      </c>
      <c r="F13" s="36" t="s">
        <v>98</v>
      </c>
      <c r="G13" s="36"/>
      <c r="H13" s="36"/>
      <c r="I13" s="36" t="s">
        <v>98</v>
      </c>
      <c r="J13" s="36" t="s">
        <v>98</v>
      </c>
      <c r="K13" s="36" t="s">
        <v>98</v>
      </c>
      <c r="L13" s="36"/>
      <c r="M13" s="36" t="s">
        <v>98</v>
      </c>
      <c r="N13" s="37"/>
      <c r="O13" s="37"/>
      <c r="P13" s="37"/>
      <c r="Q13" s="37" t="s">
        <v>98</v>
      </c>
      <c r="R13" s="37"/>
      <c r="S13" s="37"/>
      <c r="T13" s="38"/>
      <c r="U13" s="38" t="s">
        <v>98</v>
      </c>
      <c r="V13" s="38"/>
      <c r="W13" s="38"/>
      <c r="X13" s="38"/>
      <c r="Y13" s="38"/>
      <c r="Z13" s="38"/>
    </row>
    <row r="14" spans="2:26" ht="16" x14ac:dyDescent="0.2">
      <c r="B14" s="33" t="s">
        <v>109</v>
      </c>
      <c r="C14" s="33" t="s">
        <v>110</v>
      </c>
      <c r="D14" s="34" t="s">
        <v>111</v>
      </c>
      <c r="E14" s="35" t="s">
        <v>112</v>
      </c>
      <c r="F14" s="36" t="s">
        <v>98</v>
      </c>
      <c r="G14" s="36"/>
      <c r="H14" s="36"/>
      <c r="I14" s="36" t="s">
        <v>98</v>
      </c>
      <c r="J14" s="36" t="s">
        <v>98</v>
      </c>
      <c r="K14" s="36" t="s">
        <v>98</v>
      </c>
      <c r="L14" s="36" t="s">
        <v>98</v>
      </c>
      <c r="M14" s="36"/>
      <c r="N14" s="37"/>
      <c r="O14" s="37"/>
      <c r="P14" s="37"/>
      <c r="Q14" s="37"/>
      <c r="R14" s="37" t="s">
        <v>98</v>
      </c>
      <c r="S14" s="37"/>
      <c r="T14" s="38"/>
      <c r="U14" s="38" t="s">
        <v>98</v>
      </c>
      <c r="V14" s="38"/>
      <c r="W14" s="38"/>
      <c r="X14" s="38"/>
      <c r="Y14" s="38"/>
      <c r="Z14" s="38"/>
    </row>
    <row r="15" spans="2:26" ht="16" x14ac:dyDescent="0.2">
      <c r="B15" s="33" t="s">
        <v>113</v>
      </c>
      <c r="C15" s="33" t="s">
        <v>114</v>
      </c>
      <c r="D15" s="34" t="s">
        <v>115</v>
      </c>
      <c r="E15" s="35" t="s">
        <v>112</v>
      </c>
      <c r="F15" s="36" t="s">
        <v>98</v>
      </c>
      <c r="G15" s="36"/>
      <c r="H15" s="36"/>
      <c r="I15" s="36" t="s">
        <v>98</v>
      </c>
      <c r="J15" s="36" t="s">
        <v>98</v>
      </c>
      <c r="K15" s="36" t="s">
        <v>98</v>
      </c>
      <c r="L15" s="36" t="s">
        <v>98</v>
      </c>
      <c r="M15" s="36" t="s">
        <v>98</v>
      </c>
      <c r="N15" s="37"/>
      <c r="O15" s="37"/>
      <c r="P15" s="37"/>
      <c r="Q15" s="37"/>
      <c r="R15" s="37"/>
      <c r="S15" s="37" t="s">
        <v>98</v>
      </c>
      <c r="T15" s="38"/>
      <c r="U15" s="38"/>
      <c r="V15" s="38" t="s">
        <v>98</v>
      </c>
      <c r="W15" s="38"/>
      <c r="X15" s="38"/>
      <c r="Y15" s="38"/>
      <c r="Z15" s="38"/>
    </row>
    <row r="16" spans="2:26" ht="16" x14ac:dyDescent="0.2">
      <c r="B16" s="9"/>
    </row>
  </sheetData>
  <mergeCells count="29">
    <mergeCell ref="C8:C9"/>
    <mergeCell ref="E7:E9"/>
    <mergeCell ref="F7:M7"/>
    <mergeCell ref="N7:S7"/>
    <mergeCell ref="Z8:Z9"/>
    <mergeCell ref="H8:I8"/>
    <mergeCell ref="J8:K8"/>
    <mergeCell ref="L8:M8"/>
    <mergeCell ref="T8:T9"/>
    <mergeCell ref="N8:N9"/>
    <mergeCell ref="O8:O9"/>
    <mergeCell ref="P8:P9"/>
    <mergeCell ref="Q8:Q9"/>
    <mergeCell ref="D1:G1"/>
    <mergeCell ref="B3:F3"/>
    <mergeCell ref="B6:B9"/>
    <mergeCell ref="C6:C7"/>
    <mergeCell ref="D6:D7"/>
    <mergeCell ref="E6:Z6"/>
    <mergeCell ref="X8:X9"/>
    <mergeCell ref="Y8:Y9"/>
    <mergeCell ref="S8:S9"/>
    <mergeCell ref="D8:D9"/>
    <mergeCell ref="F8:G8"/>
    <mergeCell ref="U8:U9"/>
    <mergeCell ref="V8:V9"/>
    <mergeCell ref="W8:W9"/>
    <mergeCell ref="R8:R9"/>
    <mergeCell ref="T7:Z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J18"/>
  <sheetViews>
    <sheetView workbookViewId="0">
      <selection activeCell="E18" sqref="E18"/>
    </sheetView>
  </sheetViews>
  <sheetFormatPr baseColWidth="10" defaultColWidth="8.83203125" defaultRowHeight="15" x14ac:dyDescent="0.2"/>
  <cols>
    <col min="3" max="3" width="7.1640625" bestFit="1" customWidth="1"/>
    <col min="4" max="4" width="11.33203125" bestFit="1" customWidth="1"/>
    <col min="5" max="5" width="41" customWidth="1"/>
    <col min="6" max="6" width="34.83203125" customWidth="1"/>
    <col min="7" max="7" width="29.5" customWidth="1"/>
    <col min="8" max="8" width="27.6640625" customWidth="1"/>
    <col min="9" max="9" width="16.1640625" bestFit="1" customWidth="1"/>
    <col min="11" max="11" width="12.33203125" customWidth="1"/>
  </cols>
  <sheetData>
    <row r="1" spans="2:10" x14ac:dyDescent="0.2">
      <c r="B1" s="8"/>
      <c r="D1" s="43" t="s">
        <v>0</v>
      </c>
      <c r="E1" s="44"/>
      <c r="F1" s="44"/>
    </row>
    <row r="3" spans="2:10" x14ac:dyDescent="0.2">
      <c r="B3" s="73" t="s">
        <v>52</v>
      </c>
      <c r="C3" s="73"/>
      <c r="D3" s="73"/>
      <c r="E3" s="73"/>
      <c r="F3" s="73"/>
      <c r="G3" s="73"/>
      <c r="H3" s="73"/>
    </row>
    <row r="4" spans="2:10" x14ac:dyDescent="0.2">
      <c r="B4" s="74" t="s">
        <v>53</v>
      </c>
      <c r="C4" s="81" t="s">
        <v>54</v>
      </c>
      <c r="D4" s="83" t="s">
        <v>55</v>
      </c>
      <c r="E4" s="76" t="s">
        <v>56</v>
      </c>
      <c r="F4" s="80"/>
      <c r="G4" s="76" t="s">
        <v>57</v>
      </c>
      <c r="H4" s="77"/>
    </row>
    <row r="5" spans="2:10" ht="16" thickBot="1" x14ac:dyDescent="0.25">
      <c r="B5" s="75"/>
      <c r="C5" s="82"/>
      <c r="D5" s="84"/>
      <c r="E5" s="2" t="s">
        <v>94</v>
      </c>
      <c r="F5" s="2" t="s">
        <v>116</v>
      </c>
      <c r="G5" s="2" t="s">
        <v>58</v>
      </c>
      <c r="H5" s="2" t="s">
        <v>59</v>
      </c>
    </row>
    <row r="6" spans="2:10" ht="17" thickTop="1" x14ac:dyDescent="0.2">
      <c r="B6" s="10">
        <v>9</v>
      </c>
      <c r="C6" s="78" t="s">
        <v>60</v>
      </c>
      <c r="D6" s="4" t="s">
        <v>51</v>
      </c>
      <c r="E6" s="11" t="s">
        <v>117</v>
      </c>
      <c r="F6" s="11" t="s">
        <v>118</v>
      </c>
      <c r="G6" s="34" t="s">
        <v>96</v>
      </c>
      <c r="H6" s="34" t="s">
        <v>96</v>
      </c>
    </row>
    <row r="7" spans="2:10" ht="16" x14ac:dyDescent="0.2">
      <c r="B7" s="10">
        <v>10</v>
      </c>
      <c r="C7" s="78"/>
      <c r="D7" s="4" t="s">
        <v>61</v>
      </c>
      <c r="E7" s="10" t="s">
        <v>119</v>
      </c>
      <c r="F7" s="10" t="s">
        <v>120</v>
      </c>
      <c r="G7" s="34" t="s">
        <v>100</v>
      </c>
      <c r="H7" s="34" t="s">
        <v>100</v>
      </c>
    </row>
    <row r="8" spans="2:10" ht="16" x14ac:dyDescent="0.2">
      <c r="B8" s="10">
        <v>11</v>
      </c>
      <c r="C8" s="78"/>
      <c r="D8" s="4" t="s">
        <v>102</v>
      </c>
      <c r="E8" s="10" t="s">
        <v>121</v>
      </c>
      <c r="F8" s="10" t="s">
        <v>122</v>
      </c>
      <c r="G8" s="40" t="s">
        <v>104</v>
      </c>
      <c r="H8" s="40" t="s">
        <v>104</v>
      </c>
    </row>
    <row r="9" spans="2:10" ht="16" x14ac:dyDescent="0.2">
      <c r="B9" s="10">
        <v>12</v>
      </c>
      <c r="C9" s="78"/>
      <c r="D9" s="4" t="s">
        <v>106</v>
      </c>
      <c r="E9" s="10" t="s">
        <v>121</v>
      </c>
      <c r="F9" s="10" t="s">
        <v>123</v>
      </c>
      <c r="G9" s="34" t="s">
        <v>104</v>
      </c>
      <c r="H9" s="34" t="s">
        <v>104</v>
      </c>
    </row>
    <row r="10" spans="2:10" ht="17" thickBot="1" x14ac:dyDescent="0.25">
      <c r="B10" s="41">
        <v>13</v>
      </c>
      <c r="C10" s="78"/>
      <c r="D10" s="4" t="s">
        <v>109</v>
      </c>
      <c r="E10" s="2" t="s">
        <v>124</v>
      </c>
      <c r="F10" s="2" t="s">
        <v>125</v>
      </c>
      <c r="G10" s="34" t="s">
        <v>111</v>
      </c>
      <c r="H10" s="34" t="s">
        <v>111</v>
      </c>
    </row>
    <row r="11" spans="2:10" ht="18" thickTop="1" thickBot="1" x14ac:dyDescent="0.25">
      <c r="B11" s="2">
        <v>14</v>
      </c>
      <c r="C11" s="79"/>
      <c r="D11" s="4" t="s">
        <v>113</v>
      </c>
      <c r="E11" s="2" t="s">
        <v>124</v>
      </c>
      <c r="F11" s="2" t="s">
        <v>126</v>
      </c>
      <c r="G11" s="34" t="s">
        <v>115</v>
      </c>
      <c r="H11" s="34" t="s">
        <v>115</v>
      </c>
    </row>
    <row r="12" spans="2:10" ht="16" thickTop="1" x14ac:dyDescent="0.2">
      <c r="B12" s="3"/>
      <c r="C12" s="42"/>
      <c r="D12" s="3"/>
      <c r="E12" s="3"/>
      <c r="F12" s="3"/>
      <c r="G12" s="3"/>
      <c r="H12" s="3"/>
    </row>
    <row r="13" spans="2:10" x14ac:dyDescent="0.2">
      <c r="B13" s="3"/>
      <c r="C13" s="3"/>
      <c r="D13" s="3"/>
      <c r="E13" s="3"/>
      <c r="F13" s="3"/>
      <c r="G13" s="3"/>
      <c r="H13" s="3"/>
    </row>
    <row r="14" spans="2:10" ht="16" thickBot="1" x14ac:dyDescent="0.25">
      <c r="B14" s="3" t="s">
        <v>62</v>
      </c>
      <c r="G14" s="12"/>
    </row>
    <row r="15" spans="2:10" ht="17" thickTop="1" thickBot="1" x14ac:dyDescent="0.25">
      <c r="B15" s="100" t="s">
        <v>63</v>
      </c>
      <c r="C15" s="101"/>
      <c r="D15" s="101"/>
      <c r="E15" s="101"/>
      <c r="F15" s="31" t="s">
        <v>64</v>
      </c>
      <c r="G15" s="101"/>
      <c r="H15" s="102"/>
      <c r="I15" s="89" t="s">
        <v>65</v>
      </c>
      <c r="J15" s="90"/>
    </row>
    <row r="16" spans="2:10" ht="16" thickTop="1" x14ac:dyDescent="0.2">
      <c r="B16" s="88" t="s">
        <v>66</v>
      </c>
      <c r="C16" s="92" t="s">
        <v>67</v>
      </c>
      <c r="D16" s="92" t="s">
        <v>68</v>
      </c>
      <c r="E16" s="94" t="s">
        <v>69</v>
      </c>
      <c r="F16" s="96" t="s">
        <v>70</v>
      </c>
      <c r="G16" s="98" t="s">
        <v>71</v>
      </c>
      <c r="H16" s="85" t="s">
        <v>72</v>
      </c>
      <c r="I16" s="87" t="s">
        <v>73</v>
      </c>
      <c r="J16" s="81" t="s">
        <v>74</v>
      </c>
    </row>
    <row r="17" spans="2:10" x14ac:dyDescent="0.2">
      <c r="B17" s="91"/>
      <c r="C17" s="93"/>
      <c r="D17" s="93"/>
      <c r="E17" s="95"/>
      <c r="F17" s="97"/>
      <c r="G17" s="99"/>
      <c r="H17" s="86"/>
      <c r="I17" s="88"/>
      <c r="J17" s="96"/>
    </row>
    <row r="18" spans="2:10" x14ac:dyDescent="0.2">
      <c r="B18" s="16">
        <f>SUM(C18:D18)</f>
        <v>6</v>
      </c>
      <c r="C18" s="13">
        <v>6</v>
      </c>
      <c r="D18" s="13">
        <v>0</v>
      </c>
      <c r="E18" s="14"/>
      <c r="F18" s="15" t="s">
        <v>127</v>
      </c>
      <c r="G18" s="17">
        <v>0</v>
      </c>
      <c r="H18" s="18"/>
      <c r="I18" s="6" t="s">
        <v>75</v>
      </c>
      <c r="J18" s="19">
        <f>C18</f>
        <v>6</v>
      </c>
    </row>
  </sheetData>
  <mergeCells count="20">
    <mergeCell ref="H16:H17"/>
    <mergeCell ref="I16:I17"/>
    <mergeCell ref="I15:J15"/>
    <mergeCell ref="B16:B17"/>
    <mergeCell ref="C16:C17"/>
    <mergeCell ref="D16:D17"/>
    <mergeCell ref="E16:E17"/>
    <mergeCell ref="F16:F17"/>
    <mergeCell ref="J16:J17"/>
    <mergeCell ref="G16:G17"/>
    <mergeCell ref="B15:E15"/>
    <mergeCell ref="G15:H15"/>
    <mergeCell ref="D1:F1"/>
    <mergeCell ref="B3:H3"/>
    <mergeCell ref="B4:B5"/>
    <mergeCell ref="G4:H4"/>
    <mergeCell ref="C6:C11"/>
    <mergeCell ref="E4:F4"/>
    <mergeCell ref="C4:C5"/>
    <mergeCell ref="D4:D5"/>
  </mergeCells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2026-05-02T11:01:52Z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