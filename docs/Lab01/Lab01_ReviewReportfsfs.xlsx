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defaultThemeVersion="124226"/>
  <mc:AlternateContent xmlns:mc="http://schemas.openxmlformats.org/markup-compatibility/2006">
    <mc:Choice Requires="x15">
      <x15ac:absPath xmlns:x15ac="http://schemas.microsoft.com/office/spreadsheetml/2010/11/ac" url="/Users/alexbalta/Developer/new/vvss/MyDrinkShop/docs/Lab01/"/>
    </mc:Choice>
  </mc:AlternateContent>
  <xr:revisionPtr revIDLastSave="0" documentId="13_ncr:1_{84611424-C6B1-654C-BB28-94D0537F8A8B}" xr6:coauthVersionLast="47" xr6:coauthVersionMax="47" xr10:uidLastSave="{00000000-0000-0000-0000-000000000000}"/>
  <bookViews>
    <workbookView xWindow="0" yWindow="600" windowWidth="28800" windowHeight="17400" tabRatio="650" activeTab="1" xr2:uid="{00000000-000D-0000-FFFF-FFFF00000000}"/>
  </bookViews>
  <sheets>
    <sheet name="Requirements Phase Defects" sheetId="7" r:id="rId1"/>
    <sheet name="Architect. Design Phase Defects" sheetId="6" r:id="rId2"/>
    <sheet name="Tool-basedCodeAnalysis" sheetId="8" r:id="rId3"/>
    <sheet name="Coding Phase Defects"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6" l="1"/>
  <c r="B12" i="6" s="1"/>
  <c r="B13" i="6" s="1"/>
  <c r="B15" i="8"/>
  <c r="B16" i="8" s="1"/>
  <c r="B17" i="8" s="1"/>
  <c r="B18" i="8" s="1"/>
  <c r="B19" i="8" s="1"/>
  <c r="B20" i="8" s="1"/>
  <c r="B21" i="8" s="1"/>
  <c r="B22" i="8" s="1"/>
  <c r="B23" i="8" s="1"/>
  <c r="B24" i="8" s="1"/>
  <c r="B25" i="8" s="1"/>
  <c r="B26" i="8" s="1"/>
  <c r="B27" i="8" s="1"/>
  <c r="B28" i="8" s="1"/>
  <c r="B29" i="8" s="1"/>
  <c r="B30" i="8" s="1"/>
</calcChain>
</file>

<file path=xl/sharedStrings.xml><?xml version="1.0" encoding="utf-8"?>
<sst xmlns="http://schemas.openxmlformats.org/spreadsheetml/2006/main" count="186" uniqueCount="126">
  <si>
    <t>Document  Title:</t>
  </si>
  <si>
    <t xml:space="preserve">Review date: </t>
  </si>
  <si>
    <t>Reviewer Name:</t>
  </si>
  <si>
    <t>do not print this form</t>
  </si>
  <si>
    <t>Crt. No.</t>
  </si>
  <si>
    <t>Checked Item</t>
  </si>
  <si>
    <t>Doc. page/line</t>
  </si>
  <si>
    <t>Comments/ improvements</t>
  </si>
  <si>
    <t>Effort to review document (hours):</t>
  </si>
  <si>
    <t>Author Name:</t>
  </si>
  <si>
    <t xml:space="preserve">Author Name: </t>
  </si>
  <si>
    <t>Popescu Ionel</t>
  </si>
  <si>
    <t>Georgescu Anca</t>
  </si>
  <si>
    <t>Firicescu George</t>
  </si>
  <si>
    <t>Requirements Document</t>
  </si>
  <si>
    <t>Architectural Design Document</t>
  </si>
  <si>
    <t>Coding Document</t>
  </si>
  <si>
    <t>Review Form. Coding Defects</t>
  </si>
  <si>
    <t>Review Form. Architectural Design Defects</t>
  </si>
  <si>
    <t>Review Form. Requirements Defects</t>
  </si>
  <si>
    <t>Student 1:</t>
  </si>
  <si>
    <t>Student 2:</t>
  </si>
  <si>
    <t>Student 3:</t>
  </si>
  <si>
    <t>Echipa</t>
  </si>
  <si>
    <t>Grupa</t>
  </si>
  <si>
    <t>Tool used:</t>
  </si>
  <si>
    <t>Before</t>
  </si>
  <si>
    <t>Issue</t>
  </si>
  <si>
    <t>File, Line</t>
  </si>
  <si>
    <t>After/Argument</t>
  </si>
  <si>
    <t>Numele si prenumele</t>
  </si>
  <si>
    <t>Tool-based Code Analysis</t>
  </si>
  <si>
    <t>Effort to perform tool-based code analysis (hours):</t>
  </si>
  <si>
    <t>Balta Alexandru</t>
  </si>
  <si>
    <t>Broatec Razvan</t>
  </si>
  <si>
    <t>Staiculescu Robert</t>
  </si>
  <si>
    <t>Alex, Razvan si Robert</t>
  </si>
  <si>
    <t>07.03.2026</t>
  </si>
  <si>
    <t>Checked Item (din Checklist)</t>
  </si>
  <si>
    <t>Comments / improvements</t>
  </si>
  <si>
    <r>
      <t>R01</t>
    </r>
    <r>
      <rPr>
        <sz val="11"/>
        <color rgb="FF000000"/>
        <rFont val="Arial"/>
        <family val="2"/>
      </rPr>
      <t>(Requirements are incomplete)</t>
    </r>
  </si>
  <si>
    <t>Pag 1, Cerințe funcționale, pct. 1</t>
  </si>
  <si>
    <r>
      <t>Nu sunt specificate atributele unui produs (ex: nume, preț, descriere). </t>
    </r>
    <r>
      <rPr>
        <b/>
        <sz val="11"/>
        <color rgb="FF000000"/>
        <rFont val="Arial"/>
        <family val="2"/>
      </rPr>
      <t>Îmbunătățire:</t>
    </r>
    <r>
      <rPr>
        <sz val="11"/>
        <color rgb="FF000000"/>
        <rFont val="Arial"/>
        <family val="2"/>
      </rPr>
      <t> Trebuie definit clar ce informații conține un produs. Fără un preț, nu se poate calcula "totalul zilei" de la punctul 8.</t>
    </r>
  </si>
  <si>
    <t>Pag 1, Cerințe funcționale, pct. 3</t>
  </si>
  <si>
    <t>Se precizează că utilizatorul poate adăuga tipuri și categorii, dar nu se specifică dacă acestea pot fi șterse în cazul în care există deja produse asociate cu ele (constrângeri de integritate).</t>
  </si>
  <si>
    <r>
      <t>R02</t>
    </r>
    <r>
      <rPr>
        <sz val="11"/>
        <color rgb="FF000000"/>
        <rFont val="Arial"/>
        <family val="2"/>
      </rPr>
      <t>(Requirements are missing)</t>
    </r>
  </si>
  <si>
    <t>Pag 1, Cerințe funcționale</t>
  </si>
  <si>
    <r>
      <t>Nu există cerințe legate de validarea datelor introduse de utilizator (ex: cantități negative pentru stoc, nume vide pentru produse). </t>
    </r>
    <r>
      <rPr>
        <b/>
        <sz val="11"/>
        <color rgb="FF000000"/>
        <rFont val="Arial"/>
        <family val="2"/>
      </rPr>
      <t>Îmbunătățire:</t>
    </r>
    <r>
      <rPr>
        <sz val="11"/>
        <color rgb="FF000000"/>
        <rFont val="Arial"/>
        <family val="2"/>
      </rPr>
      <t> Adăugarea unei secțiuni despre validarea input-urilor.</t>
    </r>
  </si>
  <si>
    <r>
      <t>R04</t>
    </r>
    <r>
      <rPr>
        <sz val="11"/>
        <color rgb="FF000000"/>
        <rFont val="Arial"/>
        <family val="2"/>
      </rPr>
      <t>(Initialization of system state...)</t>
    </r>
  </si>
  <si>
    <t>Nu se menționează cum se face inițializarea sistemului (ex: cum se populează stocul inițial la prima rulare a aplicației, înainte de a exista comenzi sau produse).</t>
  </si>
  <si>
    <r>
      <t>R05</t>
    </r>
    <r>
      <rPr>
        <sz val="11"/>
        <color rgb="FF000000"/>
        <rFont val="Arial"/>
        <family val="2"/>
      </rPr>
      <t>(Functions not defined adequately)</t>
    </r>
  </si>
  <si>
    <t>Pag 1, Cerințe funcționale, pct. 6 &amp; 7</t>
  </si>
  <si>
    <t>Lipsește fluxul de eroare pentru comenzi. Ce se întâmplă dacă utilizatorul plasează o comandă, dar stocul de ingrediente este insuficient? Funcția trebuie definită să blocheze sau să avertizeze comanda.</t>
  </si>
  <si>
    <r>
      <t>R06</t>
    </r>
    <r>
      <rPr>
        <sz val="11"/>
        <color rgb="FF000000"/>
        <rFont val="Arial"/>
        <family val="2"/>
      </rPr>
      <t> (User needs inadequately stated)</t>
    </r>
  </si>
  <si>
    <t>Termenul "Utilizatorul" este prea generic. Nu se face o distincție între tipurile de utilizatori (ex: Barman pentru comenzi vs. Manager pentru definirea de rețete și rapoarte).</t>
  </si>
  <si>
    <r>
      <t>R07</t>
    </r>
    <r>
      <rPr>
        <sz val="11"/>
        <color rgb="FF000000"/>
        <rFont val="Arial"/>
        <family val="2"/>
      </rPr>
      <t>(Environment info is inadequate)</t>
    </r>
  </si>
  <si>
    <t>Pag 1, Cerințe non-funcționale</t>
  </si>
  <si>
    <t>Lipsesc informațiile specifice despre mediu. Se specifică Java Desktop și JavaFX, dar nu este menționată versiunea minimă de Java necesară (ex: JDK 21, conform fișei de laborator) sau sistemul de operare suportat.</t>
  </si>
  <si>
    <r>
      <t>R03</t>
    </r>
    <r>
      <rPr>
        <sz val="11"/>
        <color rgb="FF000000"/>
        <rFont val="Arial"/>
        <family val="2"/>
      </rPr>
      <t>(Requirements are incorrect)</t>
    </r>
  </si>
  <si>
    <t>Pag 1, Cerințe funcționale, pct. 4 și 5</t>
  </si>
  <si>
    <r>
      <t>Formatarea/Indentarea este confuză (punctul 5 referitor la stocuri este intercalat între sub-punctele de la punctul 4 și punctul 6). </t>
    </r>
    <r>
      <rPr>
        <b/>
        <sz val="11"/>
        <color rgb="FF000000"/>
        <rFont val="Arial"/>
        <family val="2"/>
      </rPr>
      <t>Îmbunătățire:</t>
    </r>
    <r>
      <rPr>
        <sz val="11"/>
        <color rgb="FF000000"/>
        <rFont val="Arial"/>
        <family val="2"/>
      </rPr>
      <t> Restructurarea listei pentru claritate.</t>
    </r>
  </si>
  <si>
    <t>A03</t>
  </si>
  <si>
    <t>A02</t>
  </si>
  <si>
    <t>Diagrama UML (Product)</t>
  </si>
  <si>
    <t>Similar cu cerintele, la nivel de clasa lipseste definirea explicita a atributului "pret" pentru clasa Product, ceea ce blocheaza realizarea bonului de casa si a totalului.</t>
  </si>
  <si>
    <t>C01</t>
  </si>
  <si>
    <t>DrinkShopController.java (onFinalizeOrder); DrinkShopService.java (comandaProdus)</t>
  </si>
  <si>
    <t>Logica decizională este incompletă în fluxul de finalizare a comenzii. Deși aplicația salvează comanda și generează bonul, consumul ingredientelor din stoc nu este integrat efectiv în acest pas. Metoda pentru verificarea și consumul stocului există la nivel de service, dar nu este apelată explicit în fluxul principal.</t>
  </si>
  <si>
    <t>C02</t>
  </si>
  <si>
    <t>DrinkShopController.java (onUpdateProduct, onDeleteProduct)</t>
  </si>
  <si>
    <t>Ramificarea este tratată inconsistent. În situațiile în care nu este selectat niciun produs pentru actualizare sau ștergere, metoda se oprește prin return fără a oferi feedback utilizatorului. Ar trebui adăugat un mesaj explicit pentru cazurile de selecție invalidă.</t>
  </si>
  <si>
    <t>C03</t>
  </si>
  <si>
    <t>FileAbstractRepository.java (loadFromFile)</t>
  </si>
  <si>
    <t>Nu au fost identificate bucle cu terminare nedefinită. Structurile iterative utilizate au condiții clare de oprire, cum ar fi citirea până la sfârșitul fișierului sau parcurgerea colecțiilor existente.</t>
  </si>
  <si>
    <t>C04</t>
  </si>
  <si>
    <t>FileStocRepository.java; FileRetetaRepository.java; FileOrderRepository.java</t>
  </si>
  <si>
    <t>Formatul de intrare/ieșire nu este uniform între fișierele aplicației. Unele repository-uri folosesc separatorul „;”, iar altele „,”, ceea ce reduce consistența și crește riscul de erori la parsare. Se recomandă standardizarea formatului de stocare.</t>
  </si>
  <si>
    <t>C05</t>
  </si>
  <si>
    <t>OrderService.java (computeTotal)</t>
  </si>
  <si>
    <t>Invocarea subprogramelor nu este suficient protejată. Calculul totalului presupune că produsul returnat din repository există întotdeauna. În lipsa unei verificări suplimentare, poate apărea acces invalid la obiecte inexistente. Este necesară validarea rezultatului înainte de utilizare.</t>
  </si>
  <si>
    <t>C06</t>
  </si>
  <si>
    <t>DrinkShopController.java (onAddProduct, onUpdateProduct, onAddIngredient)</t>
  </si>
  <si>
    <t>Datele de intrare sunt procesate direct, fără validare robustă. Conversiile numerice se fac cu parseDouble / parseInt fără verificarea prealabilă a formatului, a câmpurilor goale sau a valorilor invalide. Acest lucru poate conduce la excepții în execuție.</t>
  </si>
  <si>
    <t>C07</t>
  </si>
  <si>
    <t>DrinkShopController.java (onFinalizeOrder, onComputeRevenue)</t>
  </si>
  <si>
    <t>Procesarea ieșirii este parțială. După finalizarea comenzii, bonul este actualizat, dar informația privind venitul zilnic nu este recalculată automat. Utilizatorul trebuie să execute separat o altă acțiune, ceea ce indică un flux de ieșire incomplet.</t>
  </si>
  <si>
    <t>C08</t>
  </si>
  <si>
    <t>DrinkShopController.java (showError, diverse acțiuni UI)</t>
  </si>
  <si>
    <t>Strategia de afișare a erorilor este neuniformă. Unele situații generează mesaje, altele se termină silențios, iar tipurile de alertă nu sunt folosite consecvent. Ar trebui definit un mecanism unitar de tratare și afișare a erorilor.</t>
  </si>
  <si>
    <t>C09</t>
  </si>
  <si>
    <t>DrinkShopService.java; FileRetetaRepository.java</t>
  </si>
  <si>
    <t>Există confuzie în utilizarea parametrilor și a denumirilor asociate. De exemplu, anumite variabile sau argumente au nume care nu reflectă exact rolul lor real în logică. Această neclaritate afectează lizibilitatea și poate induce folosire greșită.</t>
  </si>
  <si>
    <t>C10</t>
  </si>
  <si>
    <t>FileRetetaRepository.java</t>
  </si>
  <si>
    <t>Nu au fost identificate erori evidente în utilizarea contoarelor de buclă. Totuși, incrementarea manuală a indexului în parsarea listelor face codul mai sensibil la structuri de date incorecte și ar putea fi înlocuită cu o abordare mai sigură.</t>
  </si>
  <si>
    <t>C11</t>
  </si>
  <si>
    <t>Există probleme de claritate în denumirea unor variabile. Unele nume nu descriu corect entitatea sau responsabilitatea asociată, ceea ce scade lizibilitatea și îngreunează mentenanța codului. Este recomandată alinierea denumirilor la semantica reală.</t>
  </si>
  <si>
    <t>C12</t>
  </si>
  <si>
    <t>Stoc.java; StocService.java</t>
  </si>
  <si>
    <t>Declarațiile de tip nu sunt complet consistente. Atribute precum cantitatea și pragul minim sunt modelate prin tipuri care nu sunt folosite unitar în constructori, parsare și actualizare. Această neuniformitate poate produce pierdere de precizie și comportament neclar.</t>
  </si>
  <si>
    <t>Update this method so that its implementation is not identical to “save” on line 26.</t>
  </si>
  <si>
    <t>Rename this generic name to match the regular expression ‘^[A-Z]?$’.</t>
  </si>
  <si>
    <t>Remove this unnecessary cast to “List”.</t>
  </si>
  <si>
    <t>This block of commented-out lines of code should be removed.</t>
  </si>
  <si>
    <t>Update this method so that its implementation is not identical to “getTotalPrice” on line 33.</t>
  </si>
  <si>
    <t>AbstractRepository.java, 37</t>
  </si>
  <si>
    <t>public E update(E entity) { entities.put(getId(entity), entity); return entity; }</t>
  </si>
  <si>
    <t>public E update(E entity) { return save(entity); } (Pentru a elimina codul duplicat semnalat de SonarQube, metoda update apeleaza acum direct metoda save, deoarece operatia pe HashMap este identica).</t>
  </si>
  <si>
    <t>AbstractRepository.java, 8</t>
  </si>
  <si>
    <t>public abstract class AbstractRepository&lt;ID, E&gt; implements Repository&lt;ID, E&gt;</t>
  </si>
  <si>
    <t>AbstractRepository.java, 20</t>
  </si>
  <si>
    <t>return (List&lt;E&gt;)StreamSupport.stream(entities.values().spliterator(), false).toList();</t>
  </si>
  <si>
    <t>return StreamSupport.stream(entities.values().spliterator(), false).toList(); (Cast-ul inutil la List&lt;E&gt; a fost eliminat, deoarece metoda .toList() returneaza deja direct tipul corect de lista).</t>
  </si>
  <si>
    <t>AbstractRepository.java, 21</t>
  </si>
  <si>
    <t>//  .collect(Collectors.toList());  // return (List&lt;E&gt;) entities.values();</t>
  </si>
  <si>
    <t>[Liniile comentate au fost sterse] (Codul mort, lasat sub forma de comentarii in fisier, a fost sters complet pentru a pastra un cod curat, conform regulii SonarQube).</t>
  </si>
  <si>
    <t>Order.java, 62</t>
  </si>
  <si>
    <t>public double getTotal() { return totalPrice; }</t>
  </si>
  <si>
    <t>[Metoda a fost stearsa] Argument: Metoda "getTotal()" era identica cu "getTotalPrice()". S-a sters metoda pentru a elimina ambiguitatea si codul duplicat, pastrandu-se doar "getTotalPrice()".</t>
  </si>
  <si>
    <t>SonarQube</t>
  </si>
  <si>
    <t>public abstract class AbstractRepository&lt;K, E&gt; implements Repository&lt;K, E&gt; (Identificatorul generic "ID" a fost redenumit in "K" pentru a respecta conventiile de notatie Java pentru tipuri generice cu o singura litera).</t>
  </si>
  <si>
    <t>Clasele CsvExporter și ReceiptGenerator sunt prezente în diagramă dar nu sunt in relație către restul sistemului.</t>
  </si>
  <si>
    <t xml:space="preserve">DrinkShopService instanțiază direct serviciile (folosind new ProductService(...)) în loc să le primească prin Dependency Injection. </t>
  </si>
  <si>
    <t>DailyReportService depinde direct de Repository. Ar trebui legat de OrderService.</t>
  </si>
  <si>
    <t>A04</t>
  </si>
  <si>
    <t>DrinkShopController este conectat la domeniu (Product, Order, Reteta, Stoc). Ar trebui să comunice doar cu DrinkShopService.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</si>
</sst>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rgb="FF000080"/>
      <name val="Calibri"/>
      <family val="2"/>
      <scheme val="minor"/>
    </font>
    <font>
      <i/>
      <sz val="9"/>
      <color rgb="FFC00000"/>
      <name val="Calibri"/>
      <family val="2"/>
      <scheme val="minor"/>
    </font>
    <font>
      <b/>
      <i/>
      <sz val="11"/>
      <color theme="1"/>
      <name val="Calibri"/>
      <family val="2"/>
      <scheme val="minor"/>
    </font>
    <font>
      <sz val="11"/>
      <color rgb="FF000000"/>
      <name val="Arial"/>
      <family val="2"/>
    </font>
    <font>
      <b/>
      <sz val="11"/>
      <color rgb="FF000000"/>
      <name val="Arial"/>
      <family val="2"/>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2">
    <xf numFmtId="0" fontId="0" fillId="0" borderId="0" xfId="0"/>
    <xf numFmtId="0" fontId="7" fillId="0" borderId="1" xfId="0" applyFont="1" applyBorder="1"/>
    <xf numFmtId="0" fontId="7" fillId="0" borderId="1" xfId="0" applyFont="1" applyBorder="1" applyAlignment="1">
      <alignment wrapText="1"/>
    </xf>
    <xf numFmtId="0" fontId="5" fillId="0" borderId="1" xfId="0" applyFont="1" applyBorder="1"/>
    <xf numFmtId="0" fontId="8" fillId="0" borderId="0" xfId="0" applyFont="1"/>
    <xf numFmtId="0" fontId="9" fillId="0" borderId="0" xfId="0" applyFont="1"/>
    <xf numFmtId="0" fontId="5" fillId="0" borderId="0" xfId="0" applyFont="1"/>
    <xf numFmtId="0" fontId="6" fillId="3" borderId="1" xfId="0" applyFont="1" applyFill="1" applyBorder="1"/>
    <xf numFmtId="0" fontId="6" fillId="0" borderId="0" xfId="0" applyFont="1"/>
    <xf numFmtId="0" fontId="6" fillId="0" borderId="1" xfId="0" applyFont="1" applyBorder="1"/>
    <xf numFmtId="0" fontId="6" fillId="0" borderId="1" xfId="0" applyFont="1" applyBorder="1" applyAlignment="1">
      <alignment horizontal="center" vertical="center"/>
    </xf>
    <xf numFmtId="0" fontId="6" fillId="0" borderId="2" xfId="0" applyFont="1" applyBorder="1"/>
    <xf numFmtId="0" fontId="6" fillId="0" borderId="3" xfId="0" applyFont="1" applyBorder="1"/>
    <xf numFmtId="0" fontId="6" fillId="2" borderId="1" xfId="0" applyFont="1" applyFill="1" applyBorder="1"/>
    <xf numFmtId="0" fontId="6" fillId="0" borderId="1" xfId="0" applyFont="1" applyBorder="1" applyAlignment="1">
      <alignment horizontal="center" vertical="center" wrapText="1"/>
    </xf>
    <xf numFmtId="0" fontId="5" fillId="0" borderId="1" xfId="0" applyFont="1" applyBorder="1" applyAlignment="1">
      <alignment wrapText="1"/>
    </xf>
    <xf numFmtId="0" fontId="6" fillId="4" borderId="1" xfId="0" applyFont="1" applyFill="1" applyBorder="1"/>
    <xf numFmtId="0" fontId="4" fillId="0" borderId="1" xfId="0" applyFont="1" applyBorder="1"/>
    <xf numFmtId="0" fontId="7" fillId="0" borderId="0" xfId="0" applyFont="1"/>
    <xf numFmtId="0" fontId="3" fillId="0" borderId="1" xfId="0" applyFont="1" applyBorder="1"/>
    <xf numFmtId="0" fontId="2" fillId="0" borderId="0" xfId="0" applyFont="1"/>
    <xf numFmtId="0" fontId="1" fillId="0" borderId="0" xfId="0" applyFont="1"/>
    <xf numFmtId="0" fontId="1" fillId="0" borderId="1" xfId="0" applyFont="1" applyBorder="1"/>
    <xf numFmtId="0" fontId="12" fillId="0" borderId="0" xfId="0" applyFont="1"/>
    <xf numFmtId="0" fontId="11" fillId="0" borderId="0" xfId="0" applyFont="1"/>
    <xf numFmtId="0" fontId="12" fillId="0" borderId="1" xfId="0" applyFont="1" applyBorder="1" applyAlignment="1">
      <alignment wrapText="1"/>
    </xf>
    <xf numFmtId="0" fontId="11" fillId="0" borderId="1" xfId="0" applyFont="1" applyBorder="1" applyAlignment="1">
      <alignment wrapText="1"/>
    </xf>
    <xf numFmtId="0" fontId="11" fillId="0" borderId="1" xfId="0" applyFont="1" applyBorder="1" applyAlignment="1">
      <alignment horizontal="left" wrapText="1"/>
    </xf>
    <xf numFmtId="0" fontId="6" fillId="0" borderId="1" xfId="0" applyFont="1" applyBorder="1" applyAlignment="1">
      <alignment horizontal="right"/>
    </xf>
    <xf numFmtId="0" fontId="4" fillId="0" borderId="1" xfId="0" applyFont="1" applyBorder="1" applyAlignment="1">
      <alignment horizontal="center"/>
    </xf>
    <xf numFmtId="0" fontId="6" fillId="0" borderId="0" xfId="0" applyFont="1" applyAlignment="1">
      <alignment horizontal="center"/>
    </xf>
    <xf numFmtId="0" fontId="6" fillId="2" borderId="1" xfId="0" applyFont="1" applyFill="1" applyBorder="1" applyAlignment="1">
      <alignment horizontal="right"/>
    </xf>
    <xf numFmtId="0" fontId="10" fillId="2" borderId="2" xfId="0" applyFont="1" applyFill="1" applyBorder="1" applyAlignment="1">
      <alignment horizontal="right"/>
    </xf>
    <xf numFmtId="0" fontId="10" fillId="2" borderId="4" xfId="0" applyFont="1" applyFill="1" applyBorder="1" applyAlignment="1">
      <alignment horizontal="right"/>
    </xf>
    <xf numFmtId="0" fontId="6" fillId="3" borderId="1" xfId="0" applyFont="1" applyFill="1" applyBorder="1" applyAlignment="1">
      <alignment horizontal="right"/>
    </xf>
    <xf numFmtId="0" fontId="10" fillId="3" borderId="2" xfId="0" applyFont="1" applyFill="1" applyBorder="1" applyAlignment="1">
      <alignment horizontal="right"/>
    </xf>
    <xf numFmtId="0" fontId="10" fillId="3" borderId="4" xfId="0" applyFont="1" applyFill="1" applyBorder="1" applyAlignment="1">
      <alignment horizontal="right"/>
    </xf>
    <xf numFmtId="0" fontId="6" fillId="0" borderId="5" xfId="0" applyFont="1" applyBorder="1" applyAlignment="1">
      <alignment horizontal="left"/>
    </xf>
    <xf numFmtId="0" fontId="6" fillId="0" borderId="0" xfId="0" applyFont="1" applyAlignment="1">
      <alignment horizontal="left"/>
    </xf>
    <xf numFmtId="0" fontId="6" fillId="4" borderId="1" xfId="0" applyFont="1" applyFill="1" applyBorder="1" applyAlignment="1">
      <alignment horizontal="right"/>
    </xf>
    <xf numFmtId="0" fontId="10" fillId="4" borderId="2" xfId="0" applyFont="1" applyFill="1" applyBorder="1" applyAlignment="1">
      <alignment horizontal="right"/>
    </xf>
    <xf numFmtId="0" fontId="10" fillId="4" borderId="4" xfId="0"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pageSetUpPr fitToPage="1"/>
  </sheetPr>
  <dimension ref="A1:L31"/>
  <sheetViews>
    <sheetView topLeftCell="A6" zoomScale="79" zoomScaleNormal="100" workbookViewId="0">
      <selection activeCell="B9" sqref="B9:E17"/>
    </sheetView>
  </sheetViews>
  <sheetFormatPr baseColWidth="10" defaultColWidth="8.83203125" defaultRowHeight="15" x14ac:dyDescent="0.2"/>
  <cols>
    <col min="1" max="1" width="8.83203125" style="6"/>
    <col min="2" max="2" width="12.33203125" style="6" customWidth="1"/>
    <col min="3" max="3" width="16.33203125" style="6" customWidth="1"/>
    <col min="4" max="4" width="30.5" style="6" customWidth="1"/>
    <col min="5" max="5" width="41.5" style="6" customWidth="1"/>
    <col min="6" max="8" width="8.83203125" style="6"/>
    <col min="9" max="9" width="21" style="6" customWidth="1"/>
    <col min="10" max="10" width="14.5" style="6" customWidth="1"/>
    <col min="11" max="16384" width="8.83203125" style="6"/>
  </cols>
  <sheetData>
    <row r="1" spans="1:10" ht="16" x14ac:dyDescent="0.2">
      <c r="A1" s="4"/>
      <c r="B1" s="5" t="s">
        <v>3</v>
      </c>
      <c r="H1" s="29" t="s">
        <v>23</v>
      </c>
      <c r="I1" s="29"/>
      <c r="J1" s="29"/>
    </row>
    <row r="2" spans="1:10" x14ac:dyDescent="0.2">
      <c r="B2" s="30" t="s">
        <v>19</v>
      </c>
      <c r="C2" s="30"/>
      <c r="D2" s="30"/>
      <c r="E2" s="30"/>
      <c r="H2" s="3"/>
      <c r="I2" s="19" t="s">
        <v>30</v>
      </c>
      <c r="J2" s="17" t="s">
        <v>24</v>
      </c>
    </row>
    <row r="3" spans="1:10" x14ac:dyDescent="0.2">
      <c r="H3" s="17" t="s">
        <v>20</v>
      </c>
      <c r="I3" s="22" t="s">
        <v>33</v>
      </c>
      <c r="J3" s="17">
        <v>231</v>
      </c>
    </row>
    <row r="4" spans="1:10" x14ac:dyDescent="0.2">
      <c r="C4" s="13" t="s">
        <v>0</v>
      </c>
      <c r="D4" s="31" t="s">
        <v>14</v>
      </c>
      <c r="E4" s="31"/>
      <c r="H4" s="17" t="s">
        <v>21</v>
      </c>
      <c r="I4" s="22" t="s">
        <v>34</v>
      </c>
      <c r="J4" s="3">
        <v>231</v>
      </c>
    </row>
    <row r="5" spans="1:10" x14ac:dyDescent="0.2">
      <c r="C5" s="13" t="s">
        <v>9</v>
      </c>
      <c r="D5" s="32" t="s">
        <v>13</v>
      </c>
      <c r="E5" s="33"/>
      <c r="H5" s="17" t="s">
        <v>22</v>
      </c>
      <c r="I5" s="22" t="s">
        <v>35</v>
      </c>
      <c r="J5" s="3">
        <v>236</v>
      </c>
    </row>
    <row r="6" spans="1:10" x14ac:dyDescent="0.2">
      <c r="B6" s="8"/>
      <c r="C6" s="9" t="s">
        <v>2</v>
      </c>
      <c r="D6" s="28" t="s">
        <v>36</v>
      </c>
      <c r="E6" s="28"/>
    </row>
    <row r="7" spans="1:10" x14ac:dyDescent="0.2">
      <c r="C7" s="9" t="s">
        <v>1</v>
      </c>
      <c r="D7" s="28" t="s">
        <v>37</v>
      </c>
      <c r="E7" s="28"/>
    </row>
    <row r="9" spans="1:10" ht="31" x14ac:dyDescent="0.2">
      <c r="B9" s="25" t="s">
        <v>4</v>
      </c>
      <c r="C9" s="25" t="s">
        <v>38</v>
      </c>
      <c r="D9" s="25" t="s">
        <v>6</v>
      </c>
      <c r="E9" s="25" t="s">
        <v>39</v>
      </c>
    </row>
    <row r="10" spans="1:10" ht="76" x14ac:dyDescent="0.2">
      <c r="B10" s="26">
        <v>1</v>
      </c>
      <c r="C10" s="25" t="s">
        <v>40</v>
      </c>
      <c r="D10" s="26" t="s">
        <v>41</v>
      </c>
      <c r="E10" s="26" t="s">
        <v>42</v>
      </c>
    </row>
    <row r="11" spans="1:10" ht="61" x14ac:dyDescent="0.2">
      <c r="B11" s="26">
        <v>2</v>
      </c>
      <c r="C11" s="25" t="s">
        <v>40</v>
      </c>
      <c r="D11" s="26" t="s">
        <v>43</v>
      </c>
      <c r="E11" s="26" t="s">
        <v>44</v>
      </c>
    </row>
    <row r="12" spans="1:10" ht="76" x14ac:dyDescent="0.2">
      <c r="B12" s="26">
        <v>3</v>
      </c>
      <c r="C12" s="25" t="s">
        <v>45</v>
      </c>
      <c r="D12" s="26" t="s">
        <v>46</v>
      </c>
      <c r="E12" s="27" t="s">
        <v>47</v>
      </c>
    </row>
    <row r="13" spans="1:10" ht="61" x14ac:dyDescent="0.2">
      <c r="B13" s="26">
        <v>4</v>
      </c>
      <c r="C13" s="25" t="s">
        <v>48</v>
      </c>
      <c r="D13" s="26" t="s">
        <v>46</v>
      </c>
      <c r="E13" s="26" t="s">
        <v>49</v>
      </c>
    </row>
    <row r="14" spans="1:10" ht="76" x14ac:dyDescent="0.2">
      <c r="B14" s="26">
        <v>5</v>
      </c>
      <c r="C14" s="25" t="s">
        <v>50</v>
      </c>
      <c r="D14" s="26" t="s">
        <v>51</v>
      </c>
      <c r="E14" s="26" t="s">
        <v>52</v>
      </c>
    </row>
    <row r="15" spans="1:10" ht="61" x14ac:dyDescent="0.2">
      <c r="B15" s="26">
        <v>6</v>
      </c>
      <c r="C15" s="25" t="s">
        <v>53</v>
      </c>
      <c r="D15" s="26" t="s">
        <v>46</v>
      </c>
      <c r="E15" s="26" t="s">
        <v>54</v>
      </c>
    </row>
    <row r="16" spans="1:10" ht="76" x14ac:dyDescent="0.2">
      <c r="B16" s="26">
        <v>7</v>
      </c>
      <c r="C16" s="25" t="s">
        <v>55</v>
      </c>
      <c r="D16" s="26" t="s">
        <v>56</v>
      </c>
      <c r="E16" s="26" t="s">
        <v>57</v>
      </c>
    </row>
    <row r="17" spans="2:12" ht="76" x14ac:dyDescent="0.2">
      <c r="B17" s="26">
        <v>8</v>
      </c>
      <c r="C17" s="25" t="s">
        <v>58</v>
      </c>
      <c r="D17" s="26" t="s">
        <v>59</v>
      </c>
      <c r="E17" s="26" t="s">
        <v>60</v>
      </c>
    </row>
    <row r="19" spans="2:12" x14ac:dyDescent="0.2">
      <c r="C19" s="11" t="s">
        <v>8</v>
      </c>
      <c r="D19" s="12"/>
      <c r="E19" s="1">
        <v>0.25</v>
      </c>
    </row>
    <row r="23" spans="2:12" x14ac:dyDescent="0.2">
      <c r="I23" s="23"/>
      <c r="J23" s="23"/>
      <c r="K23" s="23"/>
      <c r="L23" s="23"/>
    </row>
    <row r="24" spans="2:12" x14ac:dyDescent="0.2">
      <c r="I24" s="24"/>
      <c r="J24" s="23"/>
      <c r="K24" s="24"/>
      <c r="L24" s="24"/>
    </row>
    <row r="25" spans="2:12" x14ac:dyDescent="0.2">
      <c r="I25" s="24"/>
      <c r="J25" s="23"/>
      <c r="K25" s="24"/>
      <c r="L25" s="24"/>
    </row>
    <row r="26" spans="2:12" x14ac:dyDescent="0.2">
      <c r="I26" s="24"/>
      <c r="J26" s="23"/>
      <c r="K26" s="24"/>
      <c r="L26" s="24"/>
    </row>
    <row r="27" spans="2:12" x14ac:dyDescent="0.2">
      <c r="I27" s="24"/>
      <c r="J27" s="23"/>
      <c r="K27" s="24"/>
      <c r="L27" s="24"/>
    </row>
    <row r="28" spans="2:12" x14ac:dyDescent="0.2">
      <c r="I28" s="24"/>
      <c r="J28" s="23"/>
      <c r="K28" s="24"/>
      <c r="L28" s="24"/>
    </row>
    <row r="29" spans="2:12" x14ac:dyDescent="0.2">
      <c r="I29" s="24"/>
      <c r="J29" s="23"/>
      <c r="K29" s="24"/>
      <c r="L29" s="24"/>
    </row>
    <row r="30" spans="2:12" x14ac:dyDescent="0.2">
      <c r="I30" s="24"/>
      <c r="J30" s="23"/>
      <c r="K30" s="24"/>
      <c r="L30" s="24"/>
    </row>
    <row r="31" spans="2:12" x14ac:dyDescent="0.2">
      <c r="I31" s="24"/>
      <c r="J31" s="23"/>
      <c r="K31" s="24"/>
      <c r="L31" s="24"/>
    </row>
  </sheetData>
  <mergeCells count="6">
    <mergeCell ref="D7:E7"/>
    <mergeCell ref="H1:J1"/>
    <mergeCell ref="B2:E2"/>
    <mergeCell ref="D4:E4"/>
    <mergeCell ref="D6:E6"/>
    <mergeCell ref="D5:E5"/>
  </mergeCells>
  <pageMargins left="0.7" right="0.7" top="0.75" bottom="0.75" header="0.3" footer="0.3"/>
  <pageSetup paperSize="9" fitToWidth="0" fitToHeight="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J16"/>
  <sheetViews>
    <sheetView tabSelected="1" workbookViewId="0">
      <selection activeCell="G13" sqref="G13"/>
    </sheetView>
  </sheetViews>
  <sheetFormatPr baseColWidth="10" defaultColWidth="8.83203125" defaultRowHeight="15" x14ac:dyDescent="0.2"/>
  <cols>
    <col min="1" max="1" width="8.83203125" style="6"/>
    <col min="2" max="2" width="12.33203125" style="6" customWidth="1"/>
    <col min="3" max="4" width="16.33203125" style="6" customWidth="1"/>
    <col min="5" max="5" width="41.5" style="6" customWidth="1"/>
    <col min="6" max="8" width="8.83203125" style="6"/>
    <col min="9" max="9" width="22.1640625" style="6" customWidth="1"/>
    <col min="10" max="16384" width="8.83203125" style="6"/>
  </cols>
  <sheetData>
    <row r="1" spans="1:10" ht="16" x14ac:dyDescent="0.2">
      <c r="A1" s="4"/>
      <c r="B1" s="5" t="s">
        <v>3</v>
      </c>
      <c r="H1" s="29" t="s">
        <v>23</v>
      </c>
      <c r="I1" s="29"/>
      <c r="J1" s="29"/>
    </row>
    <row r="2" spans="1:10" x14ac:dyDescent="0.2">
      <c r="B2" s="30" t="s">
        <v>18</v>
      </c>
      <c r="C2" s="30"/>
      <c r="D2" s="30"/>
      <c r="E2" s="30"/>
      <c r="H2" s="3"/>
      <c r="I2" s="19" t="s">
        <v>30</v>
      </c>
      <c r="J2" s="17" t="s">
        <v>24</v>
      </c>
    </row>
    <row r="3" spans="1:10" x14ac:dyDescent="0.2">
      <c r="H3" s="17" t="s">
        <v>20</v>
      </c>
      <c r="I3" s="22" t="s">
        <v>33</v>
      </c>
      <c r="J3" s="17">
        <v>231</v>
      </c>
    </row>
    <row r="4" spans="1:10" x14ac:dyDescent="0.2">
      <c r="C4" s="7" t="s">
        <v>0</v>
      </c>
      <c r="D4" s="34" t="s">
        <v>15</v>
      </c>
      <c r="E4" s="34"/>
      <c r="H4" s="17" t="s">
        <v>21</v>
      </c>
      <c r="I4" s="22" t="s">
        <v>34</v>
      </c>
      <c r="J4" s="3">
        <v>231</v>
      </c>
    </row>
    <row r="5" spans="1:10" x14ac:dyDescent="0.2">
      <c r="C5" s="7" t="s">
        <v>10</v>
      </c>
      <c r="D5" s="35" t="s">
        <v>12</v>
      </c>
      <c r="E5" s="36"/>
      <c r="H5" s="17" t="s">
        <v>22</v>
      </c>
      <c r="I5" s="22" t="s">
        <v>35</v>
      </c>
      <c r="J5" s="3">
        <v>236</v>
      </c>
    </row>
    <row r="6" spans="1:10" x14ac:dyDescent="0.2">
      <c r="B6" s="8"/>
      <c r="C6" s="9" t="s">
        <v>2</v>
      </c>
      <c r="D6" s="28" t="s">
        <v>36</v>
      </c>
      <c r="E6" s="28"/>
    </row>
    <row r="7" spans="1:10" x14ac:dyDescent="0.2">
      <c r="C7" s="9" t="s">
        <v>1</v>
      </c>
      <c r="D7" s="28" t="s">
        <v>37</v>
      </c>
      <c r="E7" s="28"/>
    </row>
    <row r="9" spans="1:10" ht="16" x14ac:dyDescent="0.2">
      <c r="B9" s="14" t="s">
        <v>4</v>
      </c>
      <c r="C9" s="14" t="s">
        <v>5</v>
      </c>
      <c r="D9" s="14" t="s">
        <v>6</v>
      </c>
      <c r="E9" s="14" t="s">
        <v>7</v>
      </c>
    </row>
    <row r="10" spans="1:10" ht="48" x14ac:dyDescent="0.2">
      <c r="B10" s="22">
        <v>1</v>
      </c>
      <c r="C10" s="1" t="s">
        <v>62</v>
      </c>
      <c r="D10" s="2"/>
      <c r="E10" s="2" t="s">
        <v>121</v>
      </c>
    </row>
    <row r="11" spans="1:10" ht="48" x14ac:dyDescent="0.2">
      <c r="B11" s="22">
        <f>B10+1</f>
        <v>2</v>
      </c>
      <c r="C11" s="1" t="s">
        <v>61</v>
      </c>
      <c r="D11" s="2"/>
      <c r="E11" s="2" t="s">
        <v>122</v>
      </c>
    </row>
    <row r="12" spans="1:10" ht="32" x14ac:dyDescent="0.2">
      <c r="B12" s="22">
        <f t="shared" ref="B12:B13" si="0">B11+1</f>
        <v>3</v>
      </c>
      <c r="C12" s="1" t="s">
        <v>61</v>
      </c>
      <c r="D12" s="1"/>
      <c r="E12" s="2" t="s">
        <v>123</v>
      </c>
    </row>
    <row r="13" spans="1:10" ht="48" x14ac:dyDescent="0.2">
      <c r="B13" s="22">
        <f t="shared" si="0"/>
        <v>4</v>
      </c>
      <c r="C13" s="1" t="s">
        <v>124</v>
      </c>
      <c r="D13" s="1"/>
      <c r="E13" s="2" t="s">
        <v>125</v>
      </c>
    </row>
    <row r="14" spans="1:10" ht="64" x14ac:dyDescent="0.2">
      <c r="B14" s="15">
        <v>5</v>
      </c>
      <c r="C14" s="2" t="s">
        <v>61</v>
      </c>
      <c r="D14" s="2" t="s">
        <v>63</v>
      </c>
      <c r="E14" s="2" t="s">
        <v>64</v>
      </c>
    </row>
    <row r="16" spans="1:10" x14ac:dyDescent="0.2">
      <c r="C16" s="11" t="s">
        <v>8</v>
      </c>
      <c r="D16" s="12"/>
      <c r="E16" s="1">
        <v>0.25</v>
      </c>
    </row>
  </sheetData>
  <mergeCells count="6">
    <mergeCell ref="H1:J1"/>
    <mergeCell ref="B2:E2"/>
    <mergeCell ref="D4:E4"/>
    <mergeCell ref="D6:E6"/>
    <mergeCell ref="D7:E7"/>
    <mergeCell ref="D5:E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J35"/>
  <sheetViews>
    <sheetView topLeftCell="A12" workbookViewId="0">
      <selection activeCell="F14" sqref="F14"/>
    </sheetView>
  </sheetViews>
  <sheetFormatPr baseColWidth="10" defaultColWidth="8.83203125" defaultRowHeight="15" x14ac:dyDescent="0.2"/>
  <cols>
    <col min="1" max="1" width="8.83203125" style="6"/>
    <col min="2" max="2" width="12.33203125" style="6" customWidth="1"/>
    <col min="3" max="3" width="16.33203125" style="6" customWidth="1"/>
    <col min="4" max="4" width="18" style="6" customWidth="1"/>
    <col min="5" max="5" width="23.83203125" style="6" customWidth="1"/>
    <col min="6" max="6" width="16.6640625" style="6" customWidth="1"/>
    <col min="7" max="8" width="8.83203125" style="6"/>
    <col min="9" max="9" width="26.6640625" style="6" customWidth="1"/>
    <col min="10" max="16384" width="8.83203125" style="6"/>
  </cols>
  <sheetData>
    <row r="1" spans="1:10" ht="16" x14ac:dyDescent="0.2">
      <c r="A1" s="4"/>
      <c r="B1" s="5" t="s">
        <v>3</v>
      </c>
      <c r="H1" s="29" t="s">
        <v>23</v>
      </c>
      <c r="I1" s="29"/>
      <c r="J1" s="29"/>
    </row>
    <row r="2" spans="1:10" x14ac:dyDescent="0.2">
      <c r="B2" s="30" t="s">
        <v>31</v>
      </c>
      <c r="C2" s="30"/>
      <c r="D2" s="30"/>
      <c r="E2" s="30"/>
      <c r="H2" s="3"/>
      <c r="I2" s="19" t="s">
        <v>30</v>
      </c>
      <c r="J2" s="17" t="s">
        <v>24</v>
      </c>
    </row>
    <row r="3" spans="1:10" x14ac:dyDescent="0.2">
      <c r="H3" s="17" t="s">
        <v>20</v>
      </c>
      <c r="I3" s="22" t="s">
        <v>33</v>
      </c>
      <c r="J3" s="17">
        <v>231</v>
      </c>
    </row>
    <row r="4" spans="1:10" x14ac:dyDescent="0.2">
      <c r="C4" s="16" t="s">
        <v>25</v>
      </c>
      <c r="D4" s="39" t="s">
        <v>119</v>
      </c>
      <c r="E4" s="39"/>
      <c r="H4" s="17" t="s">
        <v>21</v>
      </c>
      <c r="I4" s="22" t="s">
        <v>34</v>
      </c>
      <c r="J4" s="3">
        <v>231</v>
      </c>
    </row>
    <row r="5" spans="1:10" x14ac:dyDescent="0.2">
      <c r="C5" s="9" t="s">
        <v>2</v>
      </c>
      <c r="D5" s="28" t="s">
        <v>36</v>
      </c>
      <c r="E5" s="28"/>
      <c r="H5" s="17" t="s">
        <v>22</v>
      </c>
      <c r="I5" s="22" t="s">
        <v>35</v>
      </c>
      <c r="J5" s="3">
        <v>236</v>
      </c>
    </row>
    <row r="6" spans="1:10" x14ac:dyDescent="0.2">
      <c r="B6" s="8"/>
      <c r="C6" s="9" t="s">
        <v>1</v>
      </c>
      <c r="D6" s="28" t="s">
        <v>37</v>
      </c>
      <c r="E6" s="28"/>
      <c r="F6" s="20"/>
    </row>
    <row r="9" spans="1:10" x14ac:dyDescent="0.2">
      <c r="B9" s="10" t="s">
        <v>4</v>
      </c>
      <c r="C9" s="10" t="s">
        <v>28</v>
      </c>
      <c r="D9" s="10" t="s">
        <v>27</v>
      </c>
      <c r="E9" s="10" t="s">
        <v>26</v>
      </c>
      <c r="F9" s="10" t="s">
        <v>29</v>
      </c>
    </row>
    <row r="10" spans="1:10" ht="208" x14ac:dyDescent="0.2">
      <c r="B10" s="15">
        <v>1</v>
      </c>
      <c r="C10" s="2" t="s">
        <v>105</v>
      </c>
      <c r="D10" s="2" t="s">
        <v>100</v>
      </c>
      <c r="E10" s="2" t="s">
        <v>106</v>
      </c>
      <c r="F10" s="2" t="s">
        <v>107</v>
      </c>
    </row>
    <row r="11" spans="1:10" ht="208" x14ac:dyDescent="0.2">
      <c r="B11" s="15">
        <v>2</v>
      </c>
      <c r="C11" s="2" t="s">
        <v>108</v>
      </c>
      <c r="D11" s="2" t="s">
        <v>101</v>
      </c>
      <c r="E11" s="2" t="s">
        <v>109</v>
      </c>
      <c r="F11" s="2" t="s">
        <v>120</v>
      </c>
    </row>
    <row r="12" spans="1:10" ht="176" x14ac:dyDescent="0.2">
      <c r="B12" s="15">
        <v>3</v>
      </c>
      <c r="C12" s="2" t="s">
        <v>110</v>
      </c>
      <c r="D12" s="2" t="s">
        <v>102</v>
      </c>
      <c r="E12" s="2" t="s">
        <v>111</v>
      </c>
      <c r="F12" s="2" t="s">
        <v>112</v>
      </c>
    </row>
    <row r="13" spans="1:10" ht="144" x14ac:dyDescent="0.2">
      <c r="B13" s="15">
        <v>4</v>
      </c>
      <c r="C13" s="2" t="s">
        <v>113</v>
      </c>
      <c r="D13" s="2" t="s">
        <v>103</v>
      </c>
      <c r="E13" s="2" t="s">
        <v>114</v>
      </c>
      <c r="F13" s="2" t="s">
        <v>115</v>
      </c>
    </row>
    <row r="14" spans="1:10" ht="192" x14ac:dyDescent="0.2">
      <c r="B14" s="15">
        <v>5</v>
      </c>
      <c r="C14" s="2" t="s">
        <v>116</v>
      </c>
      <c r="D14" s="2" t="s">
        <v>104</v>
      </c>
      <c r="E14" s="2" t="s">
        <v>117</v>
      </c>
      <c r="F14" s="2" t="s">
        <v>118</v>
      </c>
    </row>
    <row r="15" spans="1:10" x14ac:dyDescent="0.2">
      <c r="B15" s="3">
        <f t="shared" ref="B15:B30" si="0">B14+1</f>
        <v>6</v>
      </c>
      <c r="C15" s="1"/>
      <c r="D15" s="2"/>
      <c r="E15" s="2"/>
      <c r="F15" s="2"/>
    </row>
    <row r="16" spans="1:10" x14ac:dyDescent="0.2">
      <c r="B16" s="3">
        <f t="shared" si="0"/>
        <v>7</v>
      </c>
      <c r="C16" s="1"/>
      <c r="D16" s="2"/>
      <c r="E16" s="2"/>
      <c r="F16" s="2"/>
    </row>
    <row r="17" spans="2:6" x14ac:dyDescent="0.2">
      <c r="B17" s="3">
        <f t="shared" si="0"/>
        <v>8</v>
      </c>
      <c r="C17" s="1"/>
      <c r="D17" s="2"/>
      <c r="E17" s="2"/>
      <c r="F17" s="2"/>
    </row>
    <row r="18" spans="2:6" x14ac:dyDescent="0.2">
      <c r="B18" s="3">
        <f t="shared" si="0"/>
        <v>9</v>
      </c>
      <c r="C18" s="1"/>
      <c r="D18" s="2"/>
      <c r="E18" s="2"/>
      <c r="F18" s="2"/>
    </row>
    <row r="19" spans="2:6" x14ac:dyDescent="0.2">
      <c r="B19" s="3">
        <f t="shared" si="0"/>
        <v>10</v>
      </c>
      <c r="C19" s="1"/>
      <c r="D19" s="1"/>
      <c r="E19" s="2"/>
      <c r="F19" s="2"/>
    </row>
    <row r="20" spans="2:6" x14ac:dyDescent="0.2">
      <c r="B20" s="3">
        <f t="shared" si="0"/>
        <v>11</v>
      </c>
      <c r="C20" s="1"/>
      <c r="D20" s="2"/>
      <c r="E20" s="2"/>
      <c r="F20" s="2"/>
    </row>
    <row r="21" spans="2:6" x14ac:dyDescent="0.2">
      <c r="B21" s="3">
        <f t="shared" si="0"/>
        <v>12</v>
      </c>
      <c r="C21" s="1"/>
      <c r="D21" s="1"/>
      <c r="E21" s="2"/>
      <c r="F21" s="2"/>
    </row>
    <row r="22" spans="2:6" x14ac:dyDescent="0.2">
      <c r="B22" s="3">
        <f t="shared" si="0"/>
        <v>13</v>
      </c>
      <c r="C22" s="1"/>
      <c r="D22" s="2"/>
      <c r="E22" s="2"/>
      <c r="F22" s="2"/>
    </row>
    <row r="23" spans="2:6" x14ac:dyDescent="0.2">
      <c r="B23" s="3">
        <f t="shared" si="0"/>
        <v>14</v>
      </c>
      <c r="C23" s="1"/>
      <c r="D23" s="2"/>
      <c r="E23" s="2"/>
      <c r="F23" s="2"/>
    </row>
    <row r="24" spans="2:6" x14ac:dyDescent="0.2">
      <c r="B24" s="3">
        <f t="shared" si="0"/>
        <v>15</v>
      </c>
      <c r="C24" s="1"/>
      <c r="D24" s="2"/>
      <c r="E24" s="2"/>
      <c r="F24" s="2"/>
    </row>
    <row r="25" spans="2:6" x14ac:dyDescent="0.2">
      <c r="B25" s="3">
        <f t="shared" si="0"/>
        <v>16</v>
      </c>
      <c r="C25" s="1"/>
      <c r="D25" s="2"/>
      <c r="E25" s="2"/>
      <c r="F25" s="2"/>
    </row>
    <row r="26" spans="2:6" x14ac:dyDescent="0.2">
      <c r="B26" s="3">
        <f t="shared" si="0"/>
        <v>17</v>
      </c>
      <c r="C26" s="1"/>
      <c r="D26" s="1"/>
      <c r="E26" s="2"/>
      <c r="F26" s="2"/>
    </row>
    <row r="27" spans="2:6" x14ac:dyDescent="0.2">
      <c r="B27" s="3">
        <f t="shared" si="0"/>
        <v>18</v>
      </c>
      <c r="C27" s="1"/>
      <c r="D27" s="2"/>
      <c r="E27" s="1"/>
      <c r="F27" s="1"/>
    </row>
    <row r="28" spans="2:6" x14ac:dyDescent="0.2">
      <c r="B28" s="3">
        <f t="shared" si="0"/>
        <v>19</v>
      </c>
      <c r="C28" s="1"/>
      <c r="D28" s="2"/>
      <c r="E28" s="2"/>
      <c r="F28" s="2"/>
    </row>
    <row r="29" spans="2:6" x14ac:dyDescent="0.2">
      <c r="B29" s="3">
        <f t="shared" si="0"/>
        <v>20</v>
      </c>
      <c r="C29" s="1"/>
      <c r="D29" s="2"/>
      <c r="E29" s="2"/>
      <c r="F29" s="2"/>
    </row>
    <row r="30" spans="2:6" x14ac:dyDescent="0.2">
      <c r="B30" s="3">
        <f t="shared" si="0"/>
        <v>21</v>
      </c>
      <c r="C30" s="1"/>
      <c r="D30" s="2"/>
      <c r="E30" s="2"/>
      <c r="F30" s="2"/>
    </row>
    <row r="32" spans="2:6" x14ac:dyDescent="0.2">
      <c r="C32" s="37" t="s">
        <v>32</v>
      </c>
      <c r="D32" s="38"/>
      <c r="E32" s="38"/>
      <c r="F32" s="18"/>
    </row>
    <row r="35" spans="6:6" x14ac:dyDescent="0.2">
      <c r="F35" s="21"/>
    </row>
  </sheetData>
  <mergeCells count="6">
    <mergeCell ref="C32:E32"/>
    <mergeCell ref="H1:J1"/>
    <mergeCell ref="B2:E2"/>
    <mergeCell ref="D4:E4"/>
    <mergeCell ref="D5:E5"/>
    <mergeCell ref="D6:E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J23"/>
  <sheetViews>
    <sheetView topLeftCell="A12" workbookViewId="0">
      <selection activeCell="I13" sqref="H13:I13"/>
    </sheetView>
  </sheetViews>
  <sheetFormatPr baseColWidth="10" defaultColWidth="8.83203125" defaultRowHeight="15" x14ac:dyDescent="0.2"/>
  <cols>
    <col min="1" max="1" width="8.83203125" style="6"/>
    <col min="2" max="2" width="12.33203125" style="6" customWidth="1"/>
    <col min="3" max="3" width="16.33203125" style="6" customWidth="1"/>
    <col min="4" max="4" width="18" style="6" customWidth="1"/>
    <col min="5" max="5" width="41.5" style="6" customWidth="1"/>
    <col min="6" max="8" width="8.83203125" style="6"/>
    <col min="9" max="9" width="26.6640625" style="6" customWidth="1"/>
    <col min="10" max="16384" width="8.83203125" style="6"/>
  </cols>
  <sheetData>
    <row r="1" spans="1:10" ht="16" x14ac:dyDescent="0.2">
      <c r="A1" s="4"/>
      <c r="B1" s="5" t="s">
        <v>3</v>
      </c>
      <c r="H1" s="29" t="s">
        <v>23</v>
      </c>
      <c r="I1" s="29"/>
      <c r="J1" s="29"/>
    </row>
    <row r="2" spans="1:10" x14ac:dyDescent="0.2">
      <c r="B2" s="30" t="s">
        <v>17</v>
      </c>
      <c r="C2" s="30"/>
      <c r="D2" s="30"/>
      <c r="E2" s="30"/>
      <c r="H2" s="3"/>
      <c r="I2" s="19" t="s">
        <v>30</v>
      </c>
      <c r="J2" s="17" t="s">
        <v>24</v>
      </c>
    </row>
    <row r="3" spans="1:10" x14ac:dyDescent="0.2">
      <c r="H3" s="17" t="s">
        <v>20</v>
      </c>
      <c r="I3" s="22" t="s">
        <v>33</v>
      </c>
      <c r="J3" s="17">
        <v>231</v>
      </c>
    </row>
    <row r="4" spans="1:10" x14ac:dyDescent="0.2">
      <c r="C4" s="16" t="s">
        <v>0</v>
      </c>
      <c r="D4" s="39" t="s">
        <v>16</v>
      </c>
      <c r="E4" s="39"/>
      <c r="H4" s="17" t="s">
        <v>21</v>
      </c>
      <c r="I4" s="22" t="s">
        <v>34</v>
      </c>
      <c r="J4" s="3">
        <v>231</v>
      </c>
    </row>
    <row r="5" spans="1:10" x14ac:dyDescent="0.2">
      <c r="C5" s="16" t="s">
        <v>9</v>
      </c>
      <c r="D5" s="40" t="s">
        <v>11</v>
      </c>
      <c r="E5" s="41"/>
      <c r="H5" s="17" t="s">
        <v>22</v>
      </c>
      <c r="I5" s="22" t="s">
        <v>35</v>
      </c>
      <c r="J5" s="3">
        <v>236</v>
      </c>
    </row>
    <row r="6" spans="1:10" x14ac:dyDescent="0.2">
      <c r="B6" s="8"/>
      <c r="C6" s="9" t="s">
        <v>2</v>
      </c>
      <c r="D6" s="28" t="s">
        <v>36</v>
      </c>
      <c r="E6" s="28"/>
    </row>
    <row r="7" spans="1:10" x14ac:dyDescent="0.2">
      <c r="C7" s="9" t="s">
        <v>1</v>
      </c>
      <c r="D7" s="28" t="s">
        <v>37</v>
      </c>
      <c r="E7" s="28"/>
    </row>
    <row r="9" spans="1:10" ht="16" x14ac:dyDescent="0.2">
      <c r="B9" s="14" t="s">
        <v>4</v>
      </c>
      <c r="C9" s="14" t="s">
        <v>5</v>
      </c>
      <c r="D9" s="14" t="s">
        <v>6</v>
      </c>
      <c r="E9" s="14" t="s">
        <v>7</v>
      </c>
    </row>
    <row r="10" spans="1:10" ht="112" x14ac:dyDescent="0.2">
      <c r="B10" s="15">
        <v>1</v>
      </c>
      <c r="C10" s="2" t="s">
        <v>65</v>
      </c>
      <c r="D10" s="2" t="s">
        <v>66</v>
      </c>
      <c r="E10" s="2" t="s">
        <v>67</v>
      </c>
    </row>
    <row r="11" spans="1:10" ht="96" x14ac:dyDescent="0.2">
      <c r="B11" s="15">
        <v>2</v>
      </c>
      <c r="C11" s="2" t="s">
        <v>68</v>
      </c>
      <c r="D11" s="2" t="s">
        <v>69</v>
      </c>
      <c r="E11" s="2" t="s">
        <v>70</v>
      </c>
    </row>
    <row r="12" spans="1:10" ht="64" x14ac:dyDescent="0.2">
      <c r="B12" s="15">
        <v>3</v>
      </c>
      <c r="C12" s="2" t="s">
        <v>71</v>
      </c>
      <c r="D12" s="2" t="s">
        <v>72</v>
      </c>
      <c r="E12" s="2" t="s">
        <v>73</v>
      </c>
    </row>
    <row r="13" spans="1:10" ht="96" x14ac:dyDescent="0.2">
      <c r="B13" s="15">
        <v>4</v>
      </c>
      <c r="C13" s="2" t="s">
        <v>74</v>
      </c>
      <c r="D13" s="2" t="s">
        <v>75</v>
      </c>
      <c r="E13" s="2" t="s">
        <v>76</v>
      </c>
    </row>
    <row r="14" spans="1:10" ht="112" x14ac:dyDescent="0.2">
      <c r="B14" s="15">
        <v>5</v>
      </c>
      <c r="C14" s="2" t="s">
        <v>77</v>
      </c>
      <c r="D14" s="2" t="s">
        <v>78</v>
      </c>
      <c r="E14" s="2" t="s">
        <v>79</v>
      </c>
    </row>
    <row r="15" spans="1:10" ht="96" x14ac:dyDescent="0.2">
      <c r="B15" s="15">
        <v>6</v>
      </c>
      <c r="C15" s="2" t="s">
        <v>80</v>
      </c>
      <c r="D15" s="2" t="s">
        <v>81</v>
      </c>
      <c r="E15" s="2" t="s">
        <v>82</v>
      </c>
    </row>
    <row r="16" spans="1:10" ht="80" x14ac:dyDescent="0.2">
      <c r="B16" s="15">
        <v>7</v>
      </c>
      <c r="C16" s="2" t="s">
        <v>83</v>
      </c>
      <c r="D16" s="2" t="s">
        <v>84</v>
      </c>
      <c r="E16" s="2" t="s">
        <v>85</v>
      </c>
    </row>
    <row r="17" spans="2:5" ht="80" x14ac:dyDescent="0.2">
      <c r="B17" s="15">
        <v>8</v>
      </c>
      <c r="C17" s="2" t="s">
        <v>86</v>
      </c>
      <c r="D17" s="2" t="s">
        <v>87</v>
      </c>
      <c r="E17" s="2" t="s">
        <v>88</v>
      </c>
    </row>
    <row r="18" spans="2:5" ht="96" x14ac:dyDescent="0.2">
      <c r="B18" s="15">
        <v>9</v>
      </c>
      <c r="C18" s="2" t="s">
        <v>89</v>
      </c>
      <c r="D18" s="2" t="s">
        <v>90</v>
      </c>
      <c r="E18" s="2" t="s">
        <v>91</v>
      </c>
    </row>
    <row r="19" spans="2:5" ht="80" x14ac:dyDescent="0.2">
      <c r="B19" s="15">
        <v>10</v>
      </c>
      <c r="C19" s="2" t="s">
        <v>92</v>
      </c>
      <c r="D19" s="2" t="s">
        <v>93</v>
      </c>
      <c r="E19" s="2" t="s">
        <v>94</v>
      </c>
    </row>
    <row r="20" spans="2:5" ht="96" x14ac:dyDescent="0.2">
      <c r="B20" s="15">
        <v>11</v>
      </c>
      <c r="C20" s="2" t="s">
        <v>95</v>
      </c>
      <c r="D20" s="2" t="s">
        <v>90</v>
      </c>
      <c r="E20" s="2" t="s">
        <v>96</v>
      </c>
    </row>
    <row r="21" spans="2:5" ht="96" x14ac:dyDescent="0.2">
      <c r="B21" s="15">
        <v>12</v>
      </c>
      <c r="C21" s="2" t="s">
        <v>97</v>
      </c>
      <c r="D21" s="2" t="s">
        <v>98</v>
      </c>
      <c r="E21" s="2" t="s">
        <v>99</v>
      </c>
    </row>
    <row r="23" spans="2:5" x14ac:dyDescent="0.2">
      <c r="C23" s="11" t="s">
        <v>8</v>
      </c>
      <c r="D23" s="12"/>
      <c r="E23" s="1"/>
    </row>
  </sheetData>
  <mergeCells count="6">
    <mergeCell ref="D7:E7"/>
    <mergeCell ref="H1:J1"/>
    <mergeCell ref="D4:E4"/>
    <mergeCell ref="D6:E6"/>
    <mergeCell ref="B2:E2"/>
    <mergeCell ref="D5:E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Requirements Phase Defects</vt:lpstr>
      <vt:lpstr>Architect. Design Phase Defects</vt:lpstr>
      <vt:lpstr>Tool-basedCodeAnalysis</vt:lpstr>
      <vt:lpstr>Coding Phase Defects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Andreea</dc:creator>
  <cp:lastModifiedBy>ALEXANDRU BALTĂ</cp:lastModifiedBy>
  <dcterms:created xsi:type="dcterms:W3CDTF">2015-02-21T15:59:19Z</dcterms:created>
  <dcterms:modified xsi:type="dcterms:W3CDTF">2026-03-11T15:21:01Z</dcterms:modified>
</cp:coreProperties>
</file>