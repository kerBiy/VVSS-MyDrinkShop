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VVSS\VVSS-MyDrinkShop\docs\Lab01\"/>
    </mc:Choice>
  </mc:AlternateContent>
  <xr:revisionPtr revIDLastSave="0" documentId="13_ncr:1_{64D0B414-24E8-4B56-A8B9-C47357CDB9D4}" xr6:coauthVersionLast="47" xr6:coauthVersionMax="47" xr10:uidLastSave="{00000000-0000-0000-0000-000000000000}"/>
  <bookViews>
    <workbookView xWindow="-108" yWindow="-108" windowWidth="23256" windowHeight="12456" tabRatio="650" xr2:uid="{00000000-000D-0000-FFFF-FFFF00000000}"/>
  </bookViews>
  <sheets>
    <sheet name="Requirements Phase Defects" sheetId="7" r:id="rId1"/>
    <sheet name="Architect. Design Phase Defects" sheetId="6" r:id="rId2"/>
    <sheet name="Tool-basedCodeAnalysis" sheetId="8" r:id="rId3"/>
    <sheet name="Coding Phase Defect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6" l="1"/>
  <c r="B12" i="6" s="1"/>
  <c r="B13" i="6" s="1"/>
  <c r="B15" i="8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</calcChain>
</file>

<file path=xl/sharedStrings.xml><?xml version="1.0" encoding="utf-8"?>
<sst xmlns="http://schemas.openxmlformats.org/spreadsheetml/2006/main" count="147" uniqueCount="90">
  <si>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</si>
  <si>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</si>
  <si>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</si>
  <si>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</si>
  <si>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</si>
  <si>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</si>
  <si>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</si>
  <si>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</si>
  <si>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</si>
  <si>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</si>
  <si>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</si>
  <si>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</si>
  <si>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</si>
  <si>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</si>
  <si>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</si>
  <si>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</si>
  <si>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</si>
  <si>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</si>
  <si>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</si>
  <si>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</si>
  <si>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</si>
  <si>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</si>
  <si>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</si>
  <si>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</si>
  <si>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</si>
  <si>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</si>
  <si>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</si>
  <si>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</si>
  <si>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</si>
  <si>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</si>
  <si>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</si>
  <si>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</si>
  <si>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Effort to perform tool-based code analysis (hours):</t>
  </si>
  <si>
    <t>Balta Alexandru</t>
  </si>
  <si>
    <t>Broatec Razvan</t>
  </si>
  <si>
    <t>Staiculescu Robert</t>
  </si>
  <si>
    <t>Alex, Razvan si Robert</t>
  </si>
  <si>
    <t>07.03.2026</t>
  </si>
  <si>
    <t>Checked Item (din Checklist)</t>
  </si>
  <si>
    <t>Comments / improvements</t>
  </si>
  <si>
    <r>
      <t>R01</t>
    </r>
    <r>
      <rPr>
        <sz val="11"/>
        <color rgb="FF000000"/>
        <rFont val="Arial"/>
        <family val="2"/>
      </rPr>
      <t>(Requirements are incomplete)</t>
    </r>
  </si>
  <si>
    <t>Pag 1, Cerințe funcționale, pct. 1</t>
  </si>
  <si>
    <r>
      <t>Nu sunt specificate atributele unui produs (ex: nume, preț, descriere). </t>
    </r>
    <r>
      <rPr>
        <b/>
        <sz val="11"/>
        <color rgb="FF000000"/>
        <rFont val="Arial"/>
        <family val="2"/>
      </rPr>
      <t>Îmbunătățire:</t>
    </r>
    <r>
      <rPr>
        <sz val="11"/>
        <color rgb="FF000000"/>
        <rFont val="Arial"/>
        <family val="2"/>
      </rPr>
      <t> Trebuie definit clar ce informații conține un produs. Fără un preț, nu se poate calcula "totalul zilei" de la punctul 8.</t>
    </r>
  </si>
  <si>
    <t>Pag 1, Cerințe funcționale, pct. 3</t>
  </si>
  <si>
    <t>Se precizează că utilizatorul poate adăuga tipuri și categorii, dar nu se specifică dacă acestea pot fi șterse în cazul în care există deja produse asociate cu ele (constrângeri de integritate).</t>
  </si>
  <si>
    <r>
      <t>R02</t>
    </r>
    <r>
      <rPr>
        <sz val="11"/>
        <color rgb="FF000000"/>
        <rFont val="Arial"/>
        <family val="2"/>
      </rPr>
      <t>(Requirements are missing)</t>
    </r>
  </si>
  <si>
    <t>Pag 1, Cerințe funcționale</t>
  </si>
  <si>
    <r>
      <t>Nu există cerințe legate de validarea datelor introduse de utilizator (ex: cantități negative pentru stoc, nume vide pentru produse). </t>
    </r>
    <r>
      <rPr>
        <b/>
        <sz val="11"/>
        <color rgb="FF000000"/>
        <rFont val="Arial"/>
        <family val="2"/>
      </rPr>
      <t>Îmbunătățire:</t>
    </r>
    <r>
      <rPr>
        <sz val="11"/>
        <color rgb="FF000000"/>
        <rFont val="Arial"/>
        <family val="2"/>
      </rPr>
      <t> Adăugarea unei secțiuni despre validarea input-urilor.</t>
    </r>
  </si>
  <si>
    <r>
      <t>R04</t>
    </r>
    <r>
      <rPr>
        <sz val="11"/>
        <color rgb="FF000000"/>
        <rFont val="Arial"/>
        <family val="2"/>
      </rPr>
      <t>(Initialization of system state...)</t>
    </r>
  </si>
  <si>
    <t>Nu se menționează cum se face inițializarea sistemului (ex: cum se populează stocul inițial la prima rulare a aplicației, înainte de a exista comenzi sau produse).</t>
  </si>
  <si>
    <t>A03</t>
  </si>
  <si>
    <t>A02</t>
  </si>
  <si>
    <t>C02</t>
  </si>
  <si>
    <t>DrinkShopController.java (onUpdateProduct, onDeleteProduct)</t>
  </si>
  <si>
    <t>Ramificarea este tratată inconsistent. În situațiile în care nu este selectat niciun produs pentru actualizare sau ștergere, metoda se oprește prin return fără a oferi feedback utilizatorului. Ar trebui adăugat un mesaj explicit pentru cazurile de selecție invalidă.</t>
  </si>
  <si>
    <t>C04</t>
  </si>
  <si>
    <t>FileStocRepository.java; FileRetetaRepository.java; FileOrderRepository.java</t>
  </si>
  <si>
    <t>Formatul de intrare/ieșire nu este uniform între fișierele aplicației. Unele repository-uri folosesc separatorul „;”, iar altele „,”, ceea ce reduce consistența și crește riscul de erori la parsare. Se recomandă standardizarea formatului de stocare.</t>
  </si>
  <si>
    <t>C06</t>
  </si>
  <si>
    <t>DrinkShopController.java (onAddProduct, onUpdateProduct, onAddIngredient)</t>
  </si>
  <si>
    <t>Datele de intrare sunt procesate direct, fără validare robustă. Conversiile numerice se fac cu parseDouble / parseInt fără verificarea prealabilă a formatului, a câmpurilor goale sau a valorilor invalide. Acest lucru poate conduce la excepții în execuție.</t>
  </si>
  <si>
    <t>C07</t>
  </si>
  <si>
    <t>DrinkShopController.java (onFinalizeOrder, onComputeRevenue)</t>
  </si>
  <si>
    <t>Procesarea ieșirii este parțială. După finalizarea comenzii, bonul este actualizat, dar informația privind venitul zilnic nu este recalculată automat. Utilizatorul trebuie să execute separat o altă acțiune, ceea ce indică un flux de ieșire incomplet.</t>
  </si>
  <si>
    <t>Update this method so that its implementation is not identical to “save” on line 26.</t>
  </si>
  <si>
    <t>Rename this generic name to match the regular expression ‘^[A-Z]?$’.</t>
  </si>
  <si>
    <t>Remove this unnecessary cast to “List”.</t>
  </si>
  <si>
    <t>This block of commented-out lines of code should be removed.</t>
  </si>
  <si>
    <t>Update this method so that its implementation is not identical to “getTotalPrice” on line 33.</t>
  </si>
  <si>
    <t>AbstractRepository.java, 37</t>
  </si>
  <si>
    <t>public E update(E entity) { entities.put(getId(entity), entity); return entity; }</t>
  </si>
  <si>
    <t>public E update(E entity) { return save(entity); } (Pentru a elimina codul duplicat semnalat de SonarQube, metoda update apeleaza acum direct metoda save, deoarece operatia pe HashMap este identica).</t>
  </si>
  <si>
    <t>AbstractRepository.java, 8</t>
  </si>
  <si>
    <t>public abstract class AbstractRepository&lt;ID, E&gt; implements Repository&lt;ID, E&gt;</t>
  </si>
  <si>
    <t>AbstractRepository.java, 20</t>
  </si>
  <si>
    <t>return (List&lt;E&gt;)StreamSupport.stream(entities.values().spliterator(), false).toList();</t>
  </si>
  <si>
    <t>return StreamSupport.stream(entities.values().spliterator(), false).toList(); (Cast-ul inutil la List&lt;E&gt; a fost eliminat, deoarece metoda .toList() returneaza deja direct tipul corect de lista).</t>
  </si>
  <si>
    <t>AbstractRepository.java, 21</t>
  </si>
  <si>
    <t>//  .collect(Collectors.toList());  // return (List&lt;E&gt;) entities.values();</t>
  </si>
  <si>
    <t>[Liniile comentate au fost sterse] (Codul mort, lasat sub forma de comentarii in fisier, a fost sters complet pentru a pastra un cod curat, conform regulii SonarQube).</t>
  </si>
  <si>
    <t>Order.java, 62</t>
  </si>
  <si>
    <t>public double getTotal() { return totalPrice; }</t>
  </si>
  <si>
    <t>[Metoda a fost stearsa] Argument: Metoda "getTotal()" era identica cu "getTotalPrice()". S-a sters metoda pentru a elimina ambiguitatea si codul duplicat, pastrandu-se doar "getTotalPrice()".</t>
  </si>
  <si>
    <t>SonarQube</t>
  </si>
  <si>
    <t>public abstract class AbstractRepository&lt;K, E&gt; implements Repository&lt;K, E&gt; (Identificatorul generic "ID" a fost redenumit in "K" pentru a respecta conventiile de notatie Java pentru tipuri generice cu o singura litera).</t>
  </si>
  <si>
    <t>A04</t>
  </si>
  <si>
    <t>Clasele CsvExporter și ReceiptGenerator sunt incluse în diagramă, dar nu au definite legături cu celelalte componente ale sistemului.</t>
  </si>
  <si>
    <t>DrinkShopService creează în mod direct instanțe ale serviciilor (de exemplu folosind new ProductService(...)), în loc să le primească prin Dependency Injection.</t>
  </si>
  <si>
    <t>DailyReportService depinde în mod direct de Repository, deși ar trebui să interacționeze prin OrderService.</t>
  </si>
  <si>
    <t>DrinkShopController este conectat direct la entitățile din domeniu (Product, Order, Reteta, Stoc), în loc să comunice doar prin DrinkShopService.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</si>
</sst>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8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5" fillId="0" borderId="1" xfId="0" applyFont="1" applyBorder="1"/>
    <xf numFmtId="0" fontId="8" fillId="0" borderId="0" xfId="0" applyFont="1"/>
    <xf numFmtId="0" fontId="9" fillId="0" borderId="0" xfId="0" applyFont="1"/>
    <xf numFmtId="0" fontId="5" fillId="0" borderId="0" xfId="0" applyFont="1"/>
    <xf numFmtId="0" fontId="6" fillId="3" borderId="1" xfId="0" applyFont="1" applyFill="1" applyBorder="1"/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2" borderId="1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6" fillId="4" borderId="1" xfId="0" applyFont="1" applyFill="1" applyBorder="1"/>
    <xf numFmtId="0" fontId="4" fillId="0" borderId="1" xfId="0" applyFont="1" applyBorder="1"/>
    <xf numFmtId="0" fontId="7" fillId="0" borderId="0" xfId="0" applyFont="1"/>
    <xf numFmtId="0" fontId="3" fillId="0" borderId="1" xfId="0" applyFont="1" applyBorder="1"/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12" fillId="0" borderId="0" xfId="0" applyFont="1"/>
    <xf numFmtId="0" fontId="11" fillId="0" borderId="0" xfId="0" applyFont="1"/>
    <xf numFmtId="0" fontId="12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3" borderId="1" xfId="0" applyFont="1" applyFill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10" fillId="3" borderId="2" xfId="0" applyFont="1" applyFill="1" applyBorder="1" applyAlignment="1">
      <alignment horizontal="right"/>
    </xf>
    <xf numFmtId="0" fontId="10" fillId="3" borderId="4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10" fillId="2" borderId="2" xfId="0" applyFont="1" applyFill="1" applyBorder="1" applyAlignment="1">
      <alignment horizontal="right"/>
    </xf>
    <xf numFmtId="0" fontId="10" fillId="2" borderId="4" xfId="0" applyFont="1" applyFill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4" borderId="1" xfId="0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  <pageSetUpPr fitToPage="1"/>
  </sheetPr>
  <dimension ref="A1:L31"/>
  <sheetViews>
    <sheetView tabSelected="1" zoomScale="79" zoomScaleNormal="100" workbookViewId="0">
      <selection activeCell="G12" sqref="G12"/>
    </sheetView>
  </sheetViews>
  <sheetFormatPr defaultColWidth="8.77734375" defaultRowHeight="14.4" x14ac:dyDescent="0.3"/>
  <cols>
    <col min="1" max="1" width="8.77734375" style="6"/>
    <col min="2" max="2" width="12.33203125" style="6" customWidth="1"/>
    <col min="3" max="3" width="16.33203125" style="6" customWidth="1"/>
    <col min="4" max="4" width="30.44140625" style="6" customWidth="1"/>
    <col min="5" max="5" width="41.44140625" style="6" customWidth="1"/>
    <col min="6" max="8" width="8.77734375" style="6"/>
    <col min="9" max="9" width="21" style="6" customWidth="1"/>
    <col min="10" max="10" width="14.44140625" style="6" customWidth="1"/>
    <col min="11" max="16384" width="8.77734375" style="6"/>
  </cols>
  <sheetData>
    <row r="1" spans="1:10" ht="15.6" x14ac:dyDescent="0.3">
      <c r="A1" s="4"/>
      <c r="B1" s="5" t="s">
        <v>3</v>
      </c>
      <c r="H1" s="28" t="s">
        <v>23</v>
      </c>
      <c r="I1" s="28"/>
      <c r="J1" s="28"/>
    </row>
    <row r="2" spans="1:10" x14ac:dyDescent="0.3">
      <c r="B2" s="29" t="s">
        <v>19</v>
      </c>
      <c r="C2" s="29"/>
      <c r="D2" s="29"/>
      <c r="E2" s="29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22" t="s">
        <v>33</v>
      </c>
      <c r="J3" s="17">
        <v>231</v>
      </c>
    </row>
    <row r="4" spans="1:10" x14ac:dyDescent="0.3">
      <c r="C4" s="13" t="s">
        <v>0</v>
      </c>
      <c r="D4" s="34" t="s">
        <v>14</v>
      </c>
      <c r="E4" s="34"/>
      <c r="H4" s="17" t="s">
        <v>21</v>
      </c>
      <c r="I4" s="22" t="s">
        <v>34</v>
      </c>
      <c r="J4" s="3">
        <v>231</v>
      </c>
    </row>
    <row r="5" spans="1:10" x14ac:dyDescent="0.3">
      <c r="C5" s="13" t="s">
        <v>9</v>
      </c>
      <c r="D5" s="35" t="s">
        <v>13</v>
      </c>
      <c r="E5" s="36"/>
      <c r="H5" s="17" t="s">
        <v>22</v>
      </c>
      <c r="I5" s="22" t="s">
        <v>35</v>
      </c>
      <c r="J5" s="3">
        <v>236</v>
      </c>
    </row>
    <row r="6" spans="1:10" x14ac:dyDescent="0.3">
      <c r="B6" s="8"/>
      <c r="C6" s="9" t="s">
        <v>2</v>
      </c>
      <c r="D6" s="31" t="s">
        <v>36</v>
      </c>
      <c r="E6" s="31"/>
    </row>
    <row r="7" spans="1:10" x14ac:dyDescent="0.3">
      <c r="C7" s="9" t="s">
        <v>1</v>
      </c>
      <c r="D7" s="31" t="s">
        <v>37</v>
      </c>
      <c r="E7" s="31"/>
    </row>
    <row r="9" spans="1:10" ht="28.2" x14ac:dyDescent="0.3">
      <c r="B9" s="25" t="s">
        <v>4</v>
      </c>
      <c r="C9" s="25" t="s">
        <v>38</v>
      </c>
      <c r="D9" s="25" t="s">
        <v>6</v>
      </c>
      <c r="E9" s="25" t="s">
        <v>39</v>
      </c>
    </row>
    <row r="10" spans="1:10" ht="83.4" x14ac:dyDescent="0.3">
      <c r="B10" s="26">
        <v>1</v>
      </c>
      <c r="C10" s="25" t="s">
        <v>40</v>
      </c>
      <c r="D10" s="26" t="s">
        <v>41</v>
      </c>
      <c r="E10" s="26" t="s">
        <v>42</v>
      </c>
    </row>
    <row r="11" spans="1:10" ht="69.599999999999994" x14ac:dyDescent="0.3">
      <c r="B11" s="26">
        <v>2</v>
      </c>
      <c r="C11" s="25" t="s">
        <v>40</v>
      </c>
      <c r="D11" s="26" t="s">
        <v>43</v>
      </c>
      <c r="E11" s="26" t="s">
        <v>44</v>
      </c>
    </row>
    <row r="12" spans="1:10" ht="69.599999999999994" x14ac:dyDescent="0.3">
      <c r="B12" s="26">
        <v>3</v>
      </c>
      <c r="C12" s="25" t="s">
        <v>45</v>
      </c>
      <c r="D12" s="26" t="s">
        <v>46</v>
      </c>
      <c r="E12" s="27" t="s">
        <v>47</v>
      </c>
    </row>
    <row r="13" spans="1:10" ht="55.8" x14ac:dyDescent="0.3">
      <c r="B13" s="26">
        <v>4</v>
      </c>
      <c r="C13" s="25" t="s">
        <v>48</v>
      </c>
      <c r="D13" s="26" t="s">
        <v>46</v>
      </c>
      <c r="E13" s="26" t="s">
        <v>49</v>
      </c>
    </row>
    <row r="15" spans="1:10" x14ac:dyDescent="0.3">
      <c r="C15" s="11" t="s">
        <v>8</v>
      </c>
      <c r="D15" s="12"/>
      <c r="E15" s="1">
        <v>0.25</v>
      </c>
    </row>
    <row r="23" spans="9:12" x14ac:dyDescent="0.3">
      <c r="I23" s="23"/>
      <c r="J23" s="23"/>
      <c r="K23" s="23"/>
      <c r="L23" s="23"/>
    </row>
    <row r="24" spans="9:12" x14ac:dyDescent="0.3">
      <c r="I24" s="24"/>
      <c r="J24" s="23"/>
      <c r="K24" s="24"/>
      <c r="L24" s="24"/>
    </row>
    <row r="25" spans="9:12" x14ac:dyDescent="0.3">
      <c r="I25" s="24"/>
      <c r="J25" s="23"/>
      <c r="K25" s="24"/>
      <c r="L25" s="24"/>
    </row>
    <row r="26" spans="9:12" x14ac:dyDescent="0.3">
      <c r="I26" s="24"/>
      <c r="J26" s="23"/>
      <c r="K26" s="24"/>
      <c r="L26" s="24"/>
    </row>
    <row r="27" spans="9:12" x14ac:dyDescent="0.3">
      <c r="I27" s="24"/>
      <c r="J27" s="23"/>
      <c r="K27" s="24"/>
      <c r="L27" s="24"/>
    </row>
    <row r="28" spans="9:12" x14ac:dyDescent="0.3">
      <c r="I28" s="24"/>
      <c r="J28" s="23"/>
      <c r="K28" s="24"/>
      <c r="L28" s="24"/>
    </row>
    <row r="29" spans="9:12" x14ac:dyDescent="0.3">
      <c r="I29" s="24"/>
      <c r="J29" s="23"/>
      <c r="K29" s="24"/>
      <c r="L29" s="24"/>
    </row>
    <row r="30" spans="9:12" x14ac:dyDescent="0.3">
      <c r="I30" s="24"/>
      <c r="J30" s="23"/>
      <c r="K30" s="24"/>
      <c r="L30" s="24"/>
    </row>
    <row r="31" spans="9:12" x14ac:dyDescent="0.3">
      <c r="I31" s="24"/>
      <c r="J31" s="23"/>
      <c r="K31" s="24"/>
      <c r="L31" s="24"/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fitToWidth="0" fitToHeight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15"/>
  <sheetViews>
    <sheetView workbookViewId="0">
      <selection activeCell="F12" sqref="F12"/>
    </sheetView>
  </sheetViews>
  <sheetFormatPr defaultColWidth="8.77734375" defaultRowHeight="14.4" x14ac:dyDescent="0.3"/>
  <cols>
    <col min="1" max="1" width="8.77734375" style="6"/>
    <col min="2" max="2" width="12.33203125" style="6" customWidth="1"/>
    <col min="3" max="4" width="16.33203125" style="6" customWidth="1"/>
    <col min="5" max="5" width="41.44140625" style="6" customWidth="1"/>
    <col min="6" max="8" width="8.77734375" style="6"/>
    <col min="9" max="9" width="22.109375" style="6" customWidth="1"/>
    <col min="10" max="16384" width="8.77734375" style="6"/>
  </cols>
  <sheetData>
    <row r="1" spans="1:10" ht="15.6" x14ac:dyDescent="0.3">
      <c r="A1" s="4"/>
      <c r="B1" s="5" t="s">
        <v>3</v>
      </c>
      <c r="H1" s="28" t="s">
        <v>23</v>
      </c>
      <c r="I1" s="28"/>
      <c r="J1" s="28"/>
    </row>
    <row r="2" spans="1:10" x14ac:dyDescent="0.3">
      <c r="B2" s="29" t="s">
        <v>18</v>
      </c>
      <c r="C2" s="29"/>
      <c r="D2" s="29"/>
      <c r="E2" s="29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22" t="s">
        <v>33</v>
      </c>
      <c r="J3" s="17">
        <v>231</v>
      </c>
    </row>
    <row r="4" spans="1:10" x14ac:dyDescent="0.3">
      <c r="C4" s="7" t="s">
        <v>0</v>
      </c>
      <c r="D4" s="30" t="s">
        <v>15</v>
      </c>
      <c r="E4" s="30"/>
      <c r="H4" s="17" t="s">
        <v>21</v>
      </c>
      <c r="I4" s="22" t="s">
        <v>34</v>
      </c>
      <c r="J4" s="3">
        <v>231</v>
      </c>
    </row>
    <row r="5" spans="1:10" x14ac:dyDescent="0.3">
      <c r="C5" s="7" t="s">
        <v>10</v>
      </c>
      <c r="D5" s="32" t="s">
        <v>12</v>
      </c>
      <c r="E5" s="33"/>
      <c r="H5" s="17" t="s">
        <v>22</v>
      </c>
      <c r="I5" s="22" t="s">
        <v>35</v>
      </c>
      <c r="J5" s="3">
        <v>236</v>
      </c>
    </row>
    <row r="6" spans="1:10" x14ac:dyDescent="0.3">
      <c r="B6" s="8"/>
      <c r="C6" s="9" t="s">
        <v>2</v>
      </c>
      <c r="D6" s="31" t="s">
        <v>36</v>
      </c>
      <c r="E6" s="31"/>
    </row>
    <row r="7" spans="1:10" x14ac:dyDescent="0.3">
      <c r="C7" s="9" t="s">
        <v>1</v>
      </c>
      <c r="D7" s="31" t="s">
        <v>37</v>
      </c>
      <c r="E7" s="31"/>
    </row>
    <row r="9" spans="1:10" x14ac:dyDescent="0.3">
      <c r="B9" s="14" t="s">
        <v>4</v>
      </c>
      <c r="C9" s="14" t="s">
        <v>5</v>
      </c>
      <c r="D9" s="14" t="s">
        <v>6</v>
      </c>
      <c r="E9" s="14" t="s">
        <v>7</v>
      </c>
    </row>
    <row r="10" spans="1:10" ht="43.2" x14ac:dyDescent="0.3">
      <c r="B10" s="22">
        <v>1</v>
      </c>
      <c r="C10" s="1" t="s">
        <v>51</v>
      </c>
      <c r="D10" s="2"/>
      <c r="E10" s="42" t="s">
        <v>86</v>
      </c>
    </row>
    <row r="11" spans="1:10" ht="57.6" x14ac:dyDescent="0.3">
      <c r="B11" s="22">
        <f>B10+1</f>
        <v>2</v>
      </c>
      <c r="C11" s="1" t="s">
        <v>50</v>
      </c>
      <c r="D11" s="2"/>
      <c r="E11" s="42" t="s">
        <v>87</v>
      </c>
    </row>
    <row r="12" spans="1:10" ht="43.2" x14ac:dyDescent="0.3">
      <c r="B12" s="22">
        <f t="shared" ref="B12:B13" si="0">B11+1</f>
        <v>3</v>
      </c>
      <c r="C12" s="1" t="s">
        <v>50</v>
      </c>
      <c r="D12" s="1"/>
      <c r="E12" s="42" t="s">
        <v>88</v>
      </c>
    </row>
    <row r="13" spans="1:10" ht="57.6" x14ac:dyDescent="0.3">
      <c r="B13" s="22">
        <f t="shared" si="0"/>
        <v>4</v>
      </c>
      <c r="C13" s="1" t="s">
        <v>85</v>
      </c>
      <c r="D13" s="1"/>
      <c r="E13" s="42" t="s">
        <v>89</v>
      </c>
    </row>
    <row r="15" spans="1:10" x14ac:dyDescent="0.3">
      <c r="C15" s="11" t="s">
        <v>8</v>
      </c>
      <c r="D15" s="12"/>
      <c r="E15" s="1">
        <v>0.25</v>
      </c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topLeftCell="A12" workbookViewId="0">
      <selection activeCell="F14" sqref="F14"/>
    </sheetView>
  </sheetViews>
  <sheetFormatPr defaultColWidth="8.77734375" defaultRowHeight="14.4" x14ac:dyDescent="0.3"/>
  <cols>
    <col min="1" max="1" width="8.77734375" style="6"/>
    <col min="2" max="2" width="12.33203125" style="6" customWidth="1"/>
    <col min="3" max="3" width="16.33203125" style="6" customWidth="1"/>
    <col min="4" max="4" width="18" style="6" customWidth="1"/>
    <col min="5" max="5" width="23.77734375" style="6" customWidth="1"/>
    <col min="6" max="6" width="16.6640625" style="6" customWidth="1"/>
    <col min="7" max="8" width="8.77734375" style="6"/>
    <col min="9" max="9" width="26.6640625" style="6" customWidth="1"/>
    <col min="10" max="16384" width="8.77734375" style="6"/>
  </cols>
  <sheetData>
    <row r="1" spans="1:10" ht="15.6" x14ac:dyDescent="0.3">
      <c r="A1" s="4"/>
      <c r="B1" s="5" t="s">
        <v>3</v>
      </c>
      <c r="H1" s="28" t="s">
        <v>23</v>
      </c>
      <c r="I1" s="28"/>
      <c r="J1" s="28"/>
    </row>
    <row r="2" spans="1:10" x14ac:dyDescent="0.3">
      <c r="B2" s="29" t="s">
        <v>31</v>
      </c>
      <c r="C2" s="29"/>
      <c r="D2" s="29"/>
      <c r="E2" s="29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22" t="s">
        <v>33</v>
      </c>
      <c r="J3" s="17">
        <v>231</v>
      </c>
    </row>
    <row r="4" spans="1:10" x14ac:dyDescent="0.3">
      <c r="C4" s="16" t="s">
        <v>25</v>
      </c>
      <c r="D4" s="39" t="s">
        <v>83</v>
      </c>
      <c r="E4" s="39"/>
      <c r="H4" s="17" t="s">
        <v>21</v>
      </c>
      <c r="I4" s="22" t="s">
        <v>34</v>
      </c>
      <c r="J4" s="3">
        <v>231</v>
      </c>
    </row>
    <row r="5" spans="1:10" x14ac:dyDescent="0.3">
      <c r="C5" s="9" t="s">
        <v>2</v>
      </c>
      <c r="D5" s="31" t="s">
        <v>36</v>
      </c>
      <c r="E5" s="31"/>
      <c r="H5" s="17" t="s">
        <v>22</v>
      </c>
      <c r="I5" s="22" t="s">
        <v>35</v>
      </c>
      <c r="J5" s="3">
        <v>236</v>
      </c>
    </row>
    <row r="6" spans="1:10" x14ac:dyDescent="0.3">
      <c r="B6" s="8"/>
      <c r="C6" s="9" t="s">
        <v>1</v>
      </c>
      <c r="D6" s="31" t="s">
        <v>37</v>
      </c>
      <c r="E6" s="31"/>
      <c r="F6" s="20"/>
    </row>
    <row r="9" spans="1:10" x14ac:dyDescent="0.3">
      <c r="B9" s="10" t="s">
        <v>4</v>
      </c>
      <c r="C9" s="10" t="s">
        <v>28</v>
      </c>
      <c r="D9" s="10" t="s">
        <v>27</v>
      </c>
      <c r="E9" s="10" t="s">
        <v>26</v>
      </c>
      <c r="F9" s="10" t="s">
        <v>29</v>
      </c>
    </row>
    <row r="10" spans="1:10" ht="201.6" x14ac:dyDescent="0.3">
      <c r="B10" s="15">
        <v>1</v>
      </c>
      <c r="C10" s="2" t="s">
        <v>69</v>
      </c>
      <c r="D10" s="2" t="s">
        <v>64</v>
      </c>
      <c r="E10" s="2" t="s">
        <v>70</v>
      </c>
      <c r="F10" s="2" t="s">
        <v>71</v>
      </c>
    </row>
    <row r="11" spans="1:10" ht="201.6" x14ac:dyDescent="0.3">
      <c r="B11" s="15">
        <v>2</v>
      </c>
      <c r="C11" s="2" t="s">
        <v>72</v>
      </c>
      <c r="D11" s="2" t="s">
        <v>65</v>
      </c>
      <c r="E11" s="2" t="s">
        <v>73</v>
      </c>
      <c r="F11" s="2" t="s">
        <v>84</v>
      </c>
    </row>
    <row r="12" spans="1:10" ht="172.8" x14ac:dyDescent="0.3">
      <c r="B12" s="15">
        <v>3</v>
      </c>
      <c r="C12" s="2" t="s">
        <v>74</v>
      </c>
      <c r="D12" s="2" t="s">
        <v>66</v>
      </c>
      <c r="E12" s="2" t="s">
        <v>75</v>
      </c>
      <c r="F12" s="2" t="s">
        <v>76</v>
      </c>
    </row>
    <row r="13" spans="1:10" ht="158.4" x14ac:dyDescent="0.3">
      <c r="B13" s="15">
        <v>4</v>
      </c>
      <c r="C13" s="2" t="s">
        <v>77</v>
      </c>
      <c r="D13" s="2" t="s">
        <v>67</v>
      </c>
      <c r="E13" s="2" t="s">
        <v>78</v>
      </c>
      <c r="F13" s="2" t="s">
        <v>79</v>
      </c>
    </row>
    <row r="14" spans="1:10" ht="187.2" x14ac:dyDescent="0.3">
      <c r="B14" s="15">
        <v>5</v>
      </c>
      <c r="C14" s="2" t="s">
        <v>80</v>
      </c>
      <c r="D14" s="2" t="s">
        <v>68</v>
      </c>
      <c r="E14" s="2" t="s">
        <v>81</v>
      </c>
      <c r="F14" s="2" t="s">
        <v>82</v>
      </c>
    </row>
    <row r="15" spans="1:10" x14ac:dyDescent="0.3">
      <c r="B15" s="3">
        <f t="shared" ref="B15:B30" si="0">B14+1</f>
        <v>6</v>
      </c>
      <c r="C15" s="1"/>
      <c r="D15" s="2"/>
      <c r="E15" s="2"/>
      <c r="F15" s="2"/>
    </row>
    <row r="16" spans="1:10" x14ac:dyDescent="0.3">
      <c r="B16" s="3">
        <f t="shared" si="0"/>
        <v>7</v>
      </c>
      <c r="C16" s="1"/>
      <c r="D16" s="2"/>
      <c r="E16" s="2"/>
      <c r="F16" s="2"/>
    </row>
    <row r="17" spans="2:6" x14ac:dyDescent="0.3">
      <c r="B17" s="3">
        <f t="shared" si="0"/>
        <v>8</v>
      </c>
      <c r="C17" s="1"/>
      <c r="D17" s="2"/>
      <c r="E17" s="2"/>
      <c r="F17" s="2"/>
    </row>
    <row r="18" spans="2:6" x14ac:dyDescent="0.3">
      <c r="B18" s="3">
        <f t="shared" si="0"/>
        <v>9</v>
      </c>
      <c r="C18" s="1"/>
      <c r="D18" s="2"/>
      <c r="E18" s="2"/>
      <c r="F18" s="2"/>
    </row>
    <row r="19" spans="2:6" x14ac:dyDescent="0.3">
      <c r="B19" s="3">
        <f t="shared" si="0"/>
        <v>10</v>
      </c>
      <c r="C19" s="1"/>
      <c r="D19" s="1"/>
      <c r="E19" s="2"/>
      <c r="F19" s="2"/>
    </row>
    <row r="20" spans="2:6" x14ac:dyDescent="0.3">
      <c r="B20" s="3">
        <f t="shared" si="0"/>
        <v>11</v>
      </c>
      <c r="C20" s="1"/>
      <c r="D20" s="2"/>
      <c r="E20" s="2"/>
      <c r="F20" s="2"/>
    </row>
    <row r="21" spans="2:6" x14ac:dyDescent="0.3">
      <c r="B21" s="3">
        <f t="shared" si="0"/>
        <v>12</v>
      </c>
      <c r="C21" s="1"/>
      <c r="D21" s="1"/>
      <c r="E21" s="2"/>
      <c r="F21" s="2"/>
    </row>
    <row r="22" spans="2:6" x14ac:dyDescent="0.3">
      <c r="B22" s="3">
        <f t="shared" si="0"/>
        <v>13</v>
      </c>
      <c r="C22" s="1"/>
      <c r="D22" s="2"/>
      <c r="E22" s="2"/>
      <c r="F22" s="2"/>
    </row>
    <row r="23" spans="2:6" x14ac:dyDescent="0.3">
      <c r="B23" s="3">
        <f t="shared" si="0"/>
        <v>14</v>
      </c>
      <c r="C23" s="1"/>
      <c r="D23" s="2"/>
      <c r="E23" s="2"/>
      <c r="F23" s="2"/>
    </row>
    <row r="24" spans="2:6" x14ac:dyDescent="0.3">
      <c r="B24" s="3">
        <f t="shared" si="0"/>
        <v>15</v>
      </c>
      <c r="C24" s="1"/>
      <c r="D24" s="2"/>
      <c r="E24" s="2"/>
      <c r="F24" s="2"/>
    </row>
    <row r="25" spans="2:6" x14ac:dyDescent="0.3">
      <c r="B25" s="3">
        <f t="shared" si="0"/>
        <v>16</v>
      </c>
      <c r="C25" s="1"/>
      <c r="D25" s="2"/>
      <c r="E25" s="2"/>
      <c r="F25" s="2"/>
    </row>
    <row r="26" spans="2:6" x14ac:dyDescent="0.3">
      <c r="B26" s="3">
        <f t="shared" si="0"/>
        <v>17</v>
      </c>
      <c r="C26" s="1"/>
      <c r="D26" s="1"/>
      <c r="E26" s="2"/>
      <c r="F26" s="2"/>
    </row>
    <row r="27" spans="2:6" x14ac:dyDescent="0.3">
      <c r="B27" s="3">
        <f t="shared" si="0"/>
        <v>18</v>
      </c>
      <c r="C27" s="1"/>
      <c r="D27" s="2"/>
      <c r="E27" s="1"/>
      <c r="F27" s="1"/>
    </row>
    <row r="28" spans="2:6" x14ac:dyDescent="0.3">
      <c r="B28" s="3">
        <f t="shared" si="0"/>
        <v>19</v>
      </c>
      <c r="C28" s="1"/>
      <c r="D28" s="2"/>
      <c r="E28" s="2"/>
      <c r="F28" s="2"/>
    </row>
    <row r="29" spans="2:6" x14ac:dyDescent="0.3">
      <c r="B29" s="3">
        <f t="shared" si="0"/>
        <v>20</v>
      </c>
      <c r="C29" s="1"/>
      <c r="D29" s="2"/>
      <c r="E29" s="2"/>
      <c r="F29" s="2"/>
    </row>
    <row r="30" spans="2:6" x14ac:dyDescent="0.3">
      <c r="B30" s="3">
        <f t="shared" si="0"/>
        <v>21</v>
      </c>
      <c r="C30" s="1"/>
      <c r="D30" s="2"/>
      <c r="E30" s="2"/>
      <c r="F30" s="2"/>
    </row>
    <row r="32" spans="2:6" x14ac:dyDescent="0.3">
      <c r="C32" s="37" t="s">
        <v>32</v>
      </c>
      <c r="D32" s="38"/>
      <c r="E32" s="38"/>
      <c r="F32" s="18"/>
    </row>
    <row r="35" spans="6:6" x14ac:dyDescent="0.3">
      <c r="F35" s="21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15"/>
  <sheetViews>
    <sheetView topLeftCell="A10" workbookViewId="0">
      <selection activeCell="C10" sqref="C10"/>
    </sheetView>
  </sheetViews>
  <sheetFormatPr defaultColWidth="8.77734375" defaultRowHeight="14.4" x14ac:dyDescent="0.3"/>
  <cols>
    <col min="1" max="1" width="8.77734375" style="6"/>
    <col min="2" max="2" width="12.33203125" style="6" customWidth="1"/>
    <col min="3" max="3" width="16.33203125" style="6" customWidth="1"/>
    <col min="4" max="4" width="18" style="6" customWidth="1"/>
    <col min="5" max="5" width="41.44140625" style="6" customWidth="1"/>
    <col min="6" max="8" width="8.77734375" style="6"/>
    <col min="9" max="9" width="26.6640625" style="6" customWidth="1"/>
    <col min="10" max="16384" width="8.77734375" style="6"/>
  </cols>
  <sheetData>
    <row r="1" spans="1:10" ht="15.6" x14ac:dyDescent="0.3">
      <c r="A1" s="4"/>
      <c r="B1" s="5" t="s">
        <v>3</v>
      </c>
      <c r="H1" s="28" t="s">
        <v>23</v>
      </c>
      <c r="I1" s="28"/>
      <c r="J1" s="28"/>
    </row>
    <row r="2" spans="1:10" x14ac:dyDescent="0.3">
      <c r="B2" s="29" t="s">
        <v>17</v>
      </c>
      <c r="C2" s="29"/>
      <c r="D2" s="29"/>
      <c r="E2" s="29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22" t="s">
        <v>33</v>
      </c>
      <c r="J3" s="17">
        <v>231</v>
      </c>
    </row>
    <row r="4" spans="1:10" x14ac:dyDescent="0.3">
      <c r="C4" s="16" t="s">
        <v>0</v>
      </c>
      <c r="D4" s="39" t="s">
        <v>16</v>
      </c>
      <c r="E4" s="39"/>
      <c r="H4" s="17" t="s">
        <v>21</v>
      </c>
      <c r="I4" s="22" t="s">
        <v>34</v>
      </c>
      <c r="J4" s="3">
        <v>231</v>
      </c>
    </row>
    <row r="5" spans="1:10" x14ac:dyDescent="0.3">
      <c r="C5" s="16" t="s">
        <v>9</v>
      </c>
      <c r="D5" s="40" t="s">
        <v>11</v>
      </c>
      <c r="E5" s="41"/>
      <c r="H5" s="17" t="s">
        <v>22</v>
      </c>
      <c r="I5" s="22" t="s">
        <v>35</v>
      </c>
      <c r="J5" s="3">
        <v>236</v>
      </c>
    </row>
    <row r="6" spans="1:10" x14ac:dyDescent="0.3">
      <c r="B6" s="8"/>
      <c r="C6" s="9" t="s">
        <v>2</v>
      </c>
      <c r="D6" s="31" t="s">
        <v>36</v>
      </c>
      <c r="E6" s="31"/>
    </row>
    <row r="7" spans="1:10" x14ac:dyDescent="0.3">
      <c r="C7" s="9" t="s">
        <v>1</v>
      </c>
      <c r="D7" s="31" t="s">
        <v>37</v>
      </c>
      <c r="E7" s="31"/>
    </row>
    <row r="9" spans="1:10" x14ac:dyDescent="0.3">
      <c r="B9" s="14" t="s">
        <v>4</v>
      </c>
      <c r="C9" s="14" t="s">
        <v>5</v>
      </c>
      <c r="D9" s="14" t="s">
        <v>6</v>
      </c>
      <c r="E9" s="14" t="s">
        <v>7</v>
      </c>
    </row>
    <row r="10" spans="1:10" ht="86.4" x14ac:dyDescent="0.3">
      <c r="B10" s="15">
        <v>1</v>
      </c>
      <c r="C10" s="2" t="s">
        <v>52</v>
      </c>
      <c r="D10" s="2" t="s">
        <v>53</v>
      </c>
      <c r="E10" s="2" t="s">
        <v>54</v>
      </c>
    </row>
    <row r="11" spans="1:10" ht="86.4" x14ac:dyDescent="0.3">
      <c r="B11" s="15">
        <v>2</v>
      </c>
      <c r="C11" s="2" t="s">
        <v>55</v>
      </c>
      <c r="D11" s="2" t="s">
        <v>56</v>
      </c>
      <c r="E11" s="2" t="s">
        <v>57</v>
      </c>
    </row>
    <row r="12" spans="1:10" ht="86.4" x14ac:dyDescent="0.3">
      <c r="B12" s="15">
        <v>3</v>
      </c>
      <c r="C12" s="2" t="s">
        <v>58</v>
      </c>
      <c r="D12" s="2" t="s">
        <v>59</v>
      </c>
      <c r="E12" s="2" t="s">
        <v>60</v>
      </c>
    </row>
    <row r="13" spans="1:10" ht="86.4" x14ac:dyDescent="0.3">
      <c r="B13" s="15">
        <v>4</v>
      </c>
      <c r="C13" s="2" t="s">
        <v>61</v>
      </c>
      <c r="D13" s="2" t="s">
        <v>62</v>
      </c>
      <c r="E13" s="2" t="s">
        <v>63</v>
      </c>
    </row>
    <row r="15" spans="1:10" x14ac:dyDescent="0.3">
      <c r="C15" s="11" t="s">
        <v>8</v>
      </c>
      <c r="D15" s="12"/>
      <c r="E15" s="1"/>
    </row>
  </sheetData>
  <mergeCells count="6">
    <mergeCell ref="D7:E7"/>
    <mergeCell ref="H1:J1"/>
    <mergeCell ref="D4:E4"/>
    <mergeCell ref="D6:E6"/>
    <mergeCell ref="B2:E2"/>
    <mergeCell ref="D5:E5"/>
  </mergeCells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Tool-basedCodeAnalysis</vt:lpstr>
      <vt:lpstr>Coding Phase 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MIHAI-ROBERT STĂICULESCU</cp:lastModifiedBy>
  <dcterms:created xsi:type="dcterms:W3CDTF">2015-02-21T15:59:19Z</dcterms:created>
  <dcterms:modified xsi:type="dcterms:W3CDTF">2026-03-13T00:12:12Z</dcterms:modified>
</cp:coreProperties>
</file>